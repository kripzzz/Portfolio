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ec6051dbf28ceb1b/Desktop/"/>
    </mc:Choice>
  </mc:AlternateContent>
  <xr:revisionPtr revIDLastSave="0" documentId="8_{17DD1FF2-0A90-478D-B143-2790BF71EB09}" xr6:coauthVersionLast="47" xr6:coauthVersionMax="47" xr10:uidLastSave="{00000000-0000-0000-0000-000000000000}"/>
  <bookViews>
    <workbookView xWindow="-108" yWindow="-108" windowWidth="23256" windowHeight="13896" tabRatio="886" firstSheet="7" activeTab="15" xr2:uid="{00000000-000D-0000-FFFF-FFFF00000000}"/>
  </bookViews>
  <sheets>
    <sheet name="Cover" sheetId="17" r:id="rId1"/>
    <sheet name="Dashboard" sheetId="28" r:id="rId2"/>
    <sheet name="Key Findings" sheetId="19" r:id="rId3"/>
    <sheet name="Recommendations" sheetId="20" r:id="rId4"/>
    <sheet name="Assumptions Summary" sheetId="18" r:id="rId5"/>
    <sheet name="Data Sheet" sheetId="6" r:id="rId6"/>
    <sheet name="Profit &amp; Loss" sheetId="1" r:id="rId7"/>
    <sheet name="Balance Sheet" sheetId="2" r:id="rId8"/>
    <sheet name="Cash Flow" sheetId="4" r:id="rId9"/>
    <sheet name="Cash Flow Data" sheetId="10" r:id="rId10"/>
    <sheet name="Quarters" sheetId="3" r:id="rId11"/>
    <sheet name="Common Size Statement" sheetId="13" r:id="rId12"/>
    <sheet name="Comparative Statement" sheetId="14" r:id="rId13"/>
    <sheet name="Ratio analysis" sheetId="11" r:id="rId14"/>
    <sheet name="Dupont" sheetId="27" r:id="rId15"/>
    <sheet name="Altman Z Score" sheetId="8" r:id="rId16"/>
    <sheet name="Beneish M-Score" sheetId="12" r:id="rId17"/>
    <sheet name="Beta" sheetId="23" r:id="rId18"/>
    <sheet name="Beta comps " sheetId="22" r:id="rId19"/>
    <sheet name="ERP" sheetId="29" r:id="rId20"/>
    <sheet name="WACC" sheetId="21" r:id="rId21"/>
    <sheet name="DCF Valuation" sheetId="16" r:id="rId22"/>
    <sheet name="Data for Relative Valuation" sheetId="7" r:id="rId23"/>
    <sheet name="Relative Valuation" sheetId="9" r:id="rId24"/>
  </sheets>
  <definedNames>
    <definedName name="UPDATE">'Data Sheet'!$E$1</definedName>
  </definedNames>
  <calcPr calcId="191029" iterateDelta="1E-4"/>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8" l="1"/>
  <c r="H30" i="8"/>
  <c r="G30" i="8"/>
  <c r="G31" i="8" s="1"/>
  <c r="F30" i="8"/>
  <c r="E30" i="8"/>
  <c r="D30" i="8"/>
  <c r="C30" i="8"/>
  <c r="C31" i="8" s="1"/>
  <c r="D31" i="8"/>
  <c r="E31" i="8"/>
  <c r="F31" i="8"/>
  <c r="H31" i="8"/>
  <c r="I31" i="8"/>
  <c r="Z18" i="9"/>
  <c r="Y18" i="9"/>
  <c r="X18" i="9"/>
  <c r="W18" i="9"/>
  <c r="V18" i="9"/>
  <c r="U18" i="9"/>
  <c r="T18" i="9"/>
  <c r="Z17" i="9"/>
  <c r="Y17" i="9"/>
  <c r="X17" i="9"/>
  <c r="W17" i="9"/>
  <c r="V17" i="9"/>
  <c r="U17" i="9"/>
  <c r="T17" i="9"/>
  <c r="Z16" i="9"/>
  <c r="Y16" i="9"/>
  <c r="X16" i="9"/>
  <c r="W16" i="9"/>
  <c r="V16" i="9"/>
  <c r="U16" i="9"/>
  <c r="T16" i="9"/>
  <c r="Z15" i="9"/>
  <c r="Y15" i="9"/>
  <c r="X15" i="9"/>
  <c r="W15" i="9"/>
  <c r="V15" i="9"/>
  <c r="U15" i="9"/>
  <c r="T15" i="9"/>
  <c r="Z14" i="9"/>
  <c r="Y14" i="9"/>
  <c r="X14" i="9"/>
  <c r="W14" i="9"/>
  <c r="V14" i="9"/>
  <c r="U14" i="9"/>
  <c r="T14" i="9"/>
  <c r="Z13" i="9"/>
  <c r="Y13" i="9"/>
  <c r="X13" i="9"/>
  <c r="W13" i="9"/>
  <c r="V13" i="9"/>
  <c r="U13" i="9"/>
  <c r="T13" i="9"/>
  <c r="S18" i="9"/>
  <c r="S17" i="9"/>
  <c r="S16" i="9"/>
  <c r="S15" i="9"/>
  <c r="S14" i="9"/>
  <c r="S13" i="9"/>
  <c r="C8" i="29"/>
  <c r="C12" i="29" s="1"/>
  <c r="C13" i="29" s="1"/>
  <c r="C17" i="29" s="1"/>
  <c r="A196" i="28" a="1"/>
  <c r="A196" i="28" s="1"/>
  <c r="A195" i="28" a="1"/>
  <c r="A195" i="28" s="1"/>
  <c r="A194" i="28" a="1"/>
  <c r="A194" i="28" s="1"/>
  <c r="A193" i="28" a="1"/>
  <c r="A193" i="28" s="1"/>
  <c r="A189" i="28" a="1"/>
  <c r="A189" i="28" s="1"/>
  <c r="A188" i="28" a="1"/>
  <c r="A188" i="28" s="1"/>
  <c r="A187" i="28" a="1"/>
  <c r="A187" i="28" s="1"/>
  <c r="A186" i="28" a="1"/>
  <c r="A186" i="28" s="1"/>
  <c r="A182" i="28" a="1"/>
  <c r="A182" i="28" s="1"/>
  <c r="A181" i="28" a="1"/>
  <c r="A181" i="28" s="1"/>
  <c r="A180" i="28" a="1"/>
  <c r="A180" i="28" s="1"/>
  <c r="A179" i="28" a="1"/>
  <c r="A179" i="28" s="1"/>
  <c r="A178" i="28" a="1"/>
  <c r="A178" i="28" s="1"/>
  <c r="A177" i="28" a="1"/>
  <c r="A177" i="28" s="1"/>
  <c r="A176" i="28" a="1"/>
  <c r="A176" i="28" s="1"/>
  <c r="A175" i="28" a="1"/>
  <c r="A175" i="28" s="1"/>
  <c r="A174" i="28" a="1"/>
  <c r="A174" i="28" s="1"/>
  <c r="A170" i="28" a="1"/>
  <c r="A170" i="28" s="1"/>
  <c r="A169" i="28" a="1"/>
  <c r="A169" i="28" s="1"/>
  <c r="A168" i="28" a="1"/>
  <c r="A168" i="28" s="1"/>
  <c r="A167" i="28" a="1"/>
  <c r="A167" i="28" s="1"/>
  <c r="A166" i="28" a="1"/>
  <c r="A166" i="28" s="1"/>
  <c r="A165" i="28" a="1"/>
  <c r="A165" i="28" s="1"/>
  <c r="A164" i="28" a="1"/>
  <c r="A164" i="28" s="1"/>
  <c r="A163" i="28" a="1"/>
  <c r="A163" i="28" s="1"/>
  <c r="A162" i="28" a="1"/>
  <c r="A162" i="28" s="1"/>
  <c r="A158" i="28" a="1"/>
  <c r="A158" i="28" s="1"/>
  <c r="A157" i="28" a="1"/>
  <c r="A157" i="28" s="1"/>
  <c r="A156" i="28" a="1"/>
  <c r="A156" i="28" s="1"/>
  <c r="A155" i="28" a="1"/>
  <c r="A155" i="28" s="1"/>
  <c r="A154" i="28" a="1"/>
  <c r="A154" i="28" s="1"/>
  <c r="A153" i="28" a="1"/>
  <c r="A153" i="28" s="1"/>
  <c r="A152" i="28" a="1"/>
  <c r="A152" i="28" s="1"/>
  <c r="A151" i="28" a="1"/>
  <c r="A151" i="28" s="1"/>
  <c r="A150" i="28" a="1"/>
  <c r="A150" i="28" s="1"/>
  <c r="A146" i="28" a="1"/>
  <c r="A146" i="28" s="1"/>
  <c r="A145" i="28" a="1"/>
  <c r="A145" i="28" s="1"/>
  <c r="A144" i="28" a="1"/>
  <c r="A144" i="28" s="1"/>
  <c r="A143" i="28" a="1"/>
  <c r="A143" i="28" s="1"/>
  <c r="A142" i="28" a="1"/>
  <c r="A142" i="28" s="1"/>
  <c r="A141" i="28" a="1"/>
  <c r="A141" i="28" s="1"/>
  <c r="A140" i="28" a="1"/>
  <c r="A140" i="28" s="1"/>
  <c r="A139" i="28" a="1"/>
  <c r="A139" i="28" s="1"/>
  <c r="A138" i="28" a="1"/>
  <c r="A138" i="28" s="1"/>
  <c r="A134" i="28" a="1"/>
  <c r="A134" i="28" s="1"/>
  <c r="A133" i="28" a="1"/>
  <c r="A133" i="28" s="1"/>
  <c r="A132" i="28" a="1"/>
  <c r="A132" i="28" s="1"/>
  <c r="A131" i="28" a="1"/>
  <c r="A131" i="28" s="1"/>
  <c r="A130" i="28" a="1"/>
  <c r="A130" i="28" s="1"/>
  <c r="A129" i="28" a="1"/>
  <c r="A129" i="28" s="1"/>
  <c r="A128" i="28" a="1"/>
  <c r="A128" i="28" s="1"/>
  <c r="A127" i="28" a="1"/>
  <c r="A127" i="28" s="1"/>
  <c r="A126" i="28" a="1"/>
  <c r="A126" i="28" s="1"/>
  <c r="A122" i="28" a="1"/>
  <c r="A122" i="28" s="1"/>
  <c r="A121" i="28" a="1"/>
  <c r="A121" i="28" s="1"/>
  <c r="A120" i="28" a="1"/>
  <c r="A120" i="28" s="1"/>
  <c r="A119" i="28" a="1"/>
  <c r="A119" i="28" s="1"/>
  <c r="A118" i="28" a="1"/>
  <c r="A118" i="28" s="1"/>
  <c r="A117" i="28" a="1"/>
  <c r="A117" i="28" s="1"/>
  <c r="A116" i="28" a="1"/>
  <c r="A116" i="28" s="1"/>
  <c r="A115" i="28" a="1"/>
  <c r="A115" i="28" s="1"/>
  <c r="A114" i="28" a="1"/>
  <c r="A114" i="28" s="1"/>
  <c r="A110" i="28" a="1"/>
  <c r="A110" i="28" s="1"/>
  <c r="A109" i="28" a="1"/>
  <c r="A109" i="28" s="1"/>
  <c r="A108" i="28" a="1"/>
  <c r="A108" i="28" s="1"/>
  <c r="A107" i="28" a="1"/>
  <c r="A107" i="28" s="1"/>
  <c r="A106" i="28" a="1"/>
  <c r="A106" i="28" s="1"/>
  <c r="A105" i="28" a="1"/>
  <c r="A105" i="28" s="1"/>
  <c r="A104" i="28" a="1"/>
  <c r="A104" i="28" s="1"/>
  <c r="A103" i="28" a="1"/>
  <c r="A103" i="28" s="1"/>
  <c r="A102" i="28" a="1"/>
  <c r="A102" i="28" s="1"/>
  <c r="A192" i="28" a="1"/>
  <c r="A192" i="28" s="1"/>
  <c r="A185" i="28" a="1"/>
  <c r="A185" i="28" s="1"/>
  <c r="A173" i="28" a="1"/>
  <c r="A173" i="28" s="1"/>
  <c r="A161" i="28" a="1"/>
  <c r="A161" i="28" s="1"/>
  <c r="A149" i="28" a="1"/>
  <c r="A149" i="28" s="1"/>
  <c r="A137" i="28" a="1"/>
  <c r="A137" i="28" s="1"/>
  <c r="A125" i="28" a="1"/>
  <c r="A125" i="28" s="1"/>
  <c r="A113" i="28" a="1"/>
  <c r="A113" i="28" s="1"/>
  <c r="A101" i="28" a="1"/>
  <c r="A101" i="28" s="1"/>
  <c r="C16" i="29" l="1"/>
  <c r="C18" i="29" s="1"/>
  <c r="K22" i="21" s="1"/>
  <c r="C25" i="18"/>
  <c r="C39" i="16"/>
  <c r="B185" i="28" s="1" a="1"/>
  <c r="B185" i="28" s="1"/>
  <c r="C73" i="16"/>
  <c r="C70" i="16"/>
  <c r="C71" i="16"/>
  <c r="D60" i="16"/>
  <c r="E60" i="16" s="1"/>
  <c r="F60" i="16" s="1"/>
  <c r="G60" i="16" s="1"/>
  <c r="D15" i="27"/>
  <c r="D27" i="27" s="1"/>
  <c r="E15" i="27"/>
  <c r="E27" i="27" s="1"/>
  <c r="F15" i="27"/>
  <c r="F27" i="27" s="1"/>
  <c r="G15" i="27"/>
  <c r="G27" i="27" s="1"/>
  <c r="C15" i="27"/>
  <c r="C18" i="27" s="1"/>
  <c r="D5" i="27"/>
  <c r="D19" i="27" s="1"/>
  <c r="E5" i="27"/>
  <c r="F5" i="27"/>
  <c r="G5" i="27"/>
  <c r="C5" i="27"/>
  <c r="C19" i="27" s="1"/>
  <c r="D4" i="27"/>
  <c r="D10" i="27" s="1"/>
  <c r="E4" i="27"/>
  <c r="F4" i="27"/>
  <c r="F10" i="27" s="1"/>
  <c r="F26" i="27" s="1"/>
  <c r="G4" i="27"/>
  <c r="C4" i="27"/>
  <c r="C10" i="27" s="1"/>
  <c r="C12" i="27" s="1"/>
  <c r="E37" i="27"/>
  <c r="C14" i="27"/>
  <c r="C33" i="27" s="1"/>
  <c r="C36" i="27" s="1"/>
  <c r="G14" i="27"/>
  <c r="G33" i="27" s="1"/>
  <c r="G36" i="27" s="1"/>
  <c r="F14" i="27"/>
  <c r="E14" i="27"/>
  <c r="D14" i="27"/>
  <c r="D33" i="27" s="1"/>
  <c r="D36" i="27" s="1"/>
  <c r="G10" i="27"/>
  <c r="G26" i="27" s="1"/>
  <c r="E10" i="27"/>
  <c r="E26" i="27" s="1"/>
  <c r="G9" i="27"/>
  <c r="F9" i="27"/>
  <c r="E9" i="27"/>
  <c r="D31" i="27"/>
  <c r="C31" i="27"/>
  <c r="F37" i="27" l="1"/>
  <c r="E6" i="27"/>
  <c r="E18" i="27"/>
  <c r="F6" i="27"/>
  <c r="F18" i="27"/>
  <c r="D37" i="27"/>
  <c r="D38" i="27" s="1"/>
  <c r="D18" i="27"/>
  <c r="G6" i="27"/>
  <c r="D39" i="16"/>
  <c r="B186" i="28" s="1" a="1"/>
  <c r="B186" i="28" s="1"/>
  <c r="D20" i="27"/>
  <c r="E33" i="27"/>
  <c r="E36" i="27" s="1"/>
  <c r="E38" i="27" s="1"/>
  <c r="E16" i="27"/>
  <c r="F33" i="27"/>
  <c r="F36" i="27" s="1"/>
  <c r="F38" i="27" s="1"/>
  <c r="F16" i="27"/>
  <c r="G12" i="27"/>
  <c r="C6" i="27"/>
  <c r="C27" i="27"/>
  <c r="C25" i="27"/>
  <c r="C9" i="27"/>
  <c r="D12" i="27"/>
  <c r="E31" i="27"/>
  <c r="F31" i="27"/>
  <c r="C37" i="27"/>
  <c r="C38" i="27" s="1"/>
  <c r="G31" i="27"/>
  <c r="C16" i="27"/>
  <c r="C20" i="27"/>
  <c r="E19" i="27"/>
  <c r="E20" i="27" s="1"/>
  <c r="C22" i="27"/>
  <c r="D6" i="27"/>
  <c r="E12" i="27"/>
  <c r="F12" i="27"/>
  <c r="E28" i="27"/>
  <c r="E32" i="27"/>
  <c r="E34" i="27" s="1"/>
  <c r="F28" i="27"/>
  <c r="F32" i="27"/>
  <c r="F34" i="27" s="1"/>
  <c r="G32" i="27"/>
  <c r="G34" i="27" s="1"/>
  <c r="G28" i="27"/>
  <c r="D16" i="27"/>
  <c r="F19" i="27"/>
  <c r="F20" i="27" s="1"/>
  <c r="G19" i="27"/>
  <c r="D25" i="27"/>
  <c r="G37" i="27"/>
  <c r="G38" i="27" s="1"/>
  <c r="E25" i="27"/>
  <c r="G16" i="27"/>
  <c r="F25" i="27"/>
  <c r="G25" i="27"/>
  <c r="C26" i="27"/>
  <c r="D26" i="27"/>
  <c r="G18" i="27"/>
  <c r="D9" i="27"/>
  <c r="D22" i="27" l="1"/>
  <c r="E40" i="27"/>
  <c r="F40" i="27"/>
  <c r="F22" i="27"/>
  <c r="E22" i="27"/>
  <c r="G20" i="27"/>
  <c r="G22" i="27" s="1"/>
  <c r="D28" i="27"/>
  <c r="D32" i="27"/>
  <c r="D34" i="27" s="1"/>
  <c r="D40" i="27" s="1"/>
  <c r="C28" i="27"/>
  <c r="C32" i="27"/>
  <c r="C34" i="27" s="1"/>
  <c r="C40" i="27" s="1"/>
  <c r="G40" i="27"/>
  <c r="C32" i="16" l="1"/>
  <c r="C24" i="18" s="1"/>
  <c r="C20" i="16"/>
  <c r="C18" i="18" s="1"/>
  <c r="E20" i="21"/>
  <c r="C27" i="16" s="1"/>
  <c r="C21" i="16"/>
  <c r="C20" i="18" s="1"/>
  <c r="K21" i="21"/>
  <c r="D8" i="21"/>
  <c r="C29" i="21" s="1"/>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N52" i="22"/>
  <c r="N53" i="22"/>
  <c r="N54" i="22"/>
  <c r="N55" i="22"/>
  <c r="N56" i="22"/>
  <c r="N57" i="22"/>
  <c r="N58" i="22"/>
  <c r="N59" i="22"/>
  <c r="N60" i="22"/>
  <c r="N61" i="22"/>
  <c r="N62" i="22"/>
  <c r="N63" i="22"/>
  <c r="N64" i="22"/>
  <c r="N65" i="22"/>
  <c r="N66" i="22"/>
  <c r="N67" i="22"/>
  <c r="N68" i="22"/>
  <c r="N69" i="22"/>
  <c r="N70" i="22"/>
  <c r="N71" i="22"/>
  <c r="N72" i="22"/>
  <c r="N73" i="22"/>
  <c r="N74" i="22"/>
  <c r="N75" i="22"/>
  <c r="N76" i="22"/>
  <c r="N77" i="22"/>
  <c r="N78" i="22"/>
  <c r="N79" i="22"/>
  <c r="N80" i="22"/>
  <c r="N81" i="22"/>
  <c r="N82" i="22"/>
  <c r="N83" i="22"/>
  <c r="N84" i="22"/>
  <c r="N85" i="22"/>
  <c r="N86" i="22"/>
  <c r="N87" i="22"/>
  <c r="N88" i="22"/>
  <c r="N89" i="22"/>
  <c r="N90" i="22"/>
  <c r="N91" i="22"/>
  <c r="N92" i="22"/>
  <c r="N93" i="22"/>
  <c r="N94" i="22"/>
  <c r="N95" i="22"/>
  <c r="N96" i="22"/>
  <c r="N97" i="22"/>
  <c r="N98" i="22"/>
  <c r="N99" i="22"/>
  <c r="N100" i="22"/>
  <c r="N101" i="22"/>
  <c r="N102" i="22"/>
  <c r="N103" i="22"/>
  <c r="N104" i="22"/>
  <c r="N105" i="22"/>
  <c r="N106" i="22"/>
  <c r="N107" i="22"/>
  <c r="N108" i="22"/>
  <c r="N109" i="22"/>
  <c r="N110" i="22"/>
  <c r="N111" i="22"/>
  <c r="N112" i="22"/>
  <c r="N113" i="22"/>
  <c r="N114" i="22"/>
  <c r="N115" i="22"/>
  <c r="N116" i="22"/>
  <c r="N117" i="22"/>
  <c r="N118" i="22"/>
  <c r="N119" i="22"/>
  <c r="N120" i="22"/>
  <c r="N121" i="22"/>
  <c r="N122" i="22"/>
  <c r="N123" i="22"/>
  <c r="N124" i="22"/>
  <c r="N125" i="22"/>
  <c r="N126" i="22"/>
  <c r="N127" i="22"/>
  <c r="N128" i="22"/>
  <c r="N129" i="22"/>
  <c r="N130" i="22"/>
  <c r="N131" i="22"/>
  <c r="N132" i="22"/>
  <c r="N133" i="22"/>
  <c r="N134" i="22"/>
  <c r="N135" i="22"/>
  <c r="N136" i="22"/>
  <c r="N137" i="22"/>
  <c r="N138" i="22"/>
  <c r="N139" i="22"/>
  <c r="N140" i="22"/>
  <c r="N141" i="22"/>
  <c r="N142" i="22"/>
  <c r="N143" i="22"/>
  <c r="N144" i="22"/>
  <c r="N145" i="22"/>
  <c r="N146" i="22"/>
  <c r="N147" i="22"/>
  <c r="N148" i="22"/>
  <c r="N149" i="22"/>
  <c r="N150" i="22"/>
  <c r="N151" i="22"/>
  <c r="N152" i="22"/>
  <c r="N153" i="22"/>
  <c r="N154" i="22"/>
  <c r="N155" i="22"/>
  <c r="N156" i="22"/>
  <c r="N157" i="22"/>
  <c r="N158" i="22"/>
  <c r="N159" i="22"/>
  <c r="N160" i="22"/>
  <c r="N161" i="22"/>
  <c r="N162" i="22"/>
  <c r="N163" i="22"/>
  <c r="N164" i="22"/>
  <c r="N165" i="22"/>
  <c r="N166" i="22"/>
  <c r="N167" i="22"/>
  <c r="N168" i="22"/>
  <c r="N169" i="22"/>
  <c r="N170" i="22"/>
  <c r="N171" i="22"/>
  <c r="N172" i="22"/>
  <c r="N173" i="22"/>
  <c r="N174" i="22"/>
  <c r="N175" i="22"/>
  <c r="N176" i="22"/>
  <c r="N177" i="22"/>
  <c r="N178" i="22"/>
  <c r="N179" i="22"/>
  <c r="N180" i="22"/>
  <c r="N181" i="22"/>
  <c r="N182" i="22"/>
  <c r="N183" i="22"/>
  <c r="N184" i="22"/>
  <c r="N185" i="22"/>
  <c r="N186" i="22"/>
  <c r="N187" i="22"/>
  <c r="N188" i="22"/>
  <c r="N189" i="22"/>
  <c r="N190" i="22"/>
  <c r="N191" i="22"/>
  <c r="N192" i="22"/>
  <c r="N193" i="22"/>
  <c r="N194" i="22"/>
  <c r="N195" i="22"/>
  <c r="N196" i="22"/>
  <c r="N197" i="22"/>
  <c r="N198" i="22"/>
  <c r="N199" i="22"/>
  <c r="N200" i="22"/>
  <c r="N201" i="22"/>
  <c r="N202" i="22"/>
  <c r="N203" i="22"/>
  <c r="N204" i="22"/>
  <c r="N205" i="22"/>
  <c r="N206" i="22"/>
  <c r="N207" i="22"/>
  <c r="N208" i="22"/>
  <c r="N209" i="22"/>
  <c r="N210" i="22"/>
  <c r="N211" i="22"/>
  <c r="N212" i="22"/>
  <c r="N5" i="22"/>
  <c r="K6" i="22"/>
  <c r="K7" i="22"/>
  <c r="K8" i="22"/>
  <c r="K9" i="22"/>
  <c r="K10" i="22"/>
  <c r="K11" i="22"/>
  <c r="K12" i="22"/>
  <c r="K13" i="22"/>
  <c r="K14" i="22"/>
  <c r="K15" i="22"/>
  <c r="K16" i="22"/>
  <c r="K17" i="22"/>
  <c r="K18" i="22"/>
  <c r="K19" i="22"/>
  <c r="K20" i="22"/>
  <c r="K21" i="22"/>
  <c r="K22" i="22"/>
  <c r="K23" i="22"/>
  <c r="K24" i="22"/>
  <c r="K25" i="22"/>
  <c r="K26" i="22"/>
  <c r="K27" i="22"/>
  <c r="K28" i="22"/>
  <c r="K29" i="22"/>
  <c r="K30" i="22"/>
  <c r="K31" i="22"/>
  <c r="K32" i="22"/>
  <c r="K33" i="22"/>
  <c r="K34" i="22"/>
  <c r="K35" i="22"/>
  <c r="K36" i="22"/>
  <c r="K37" i="22"/>
  <c r="K38" i="22"/>
  <c r="K39" i="22"/>
  <c r="K40" i="22"/>
  <c r="K41" i="22"/>
  <c r="K42" i="22"/>
  <c r="K43" i="22"/>
  <c r="K44" i="22"/>
  <c r="K45" i="22"/>
  <c r="K46" i="22"/>
  <c r="K47" i="22"/>
  <c r="K48" i="22"/>
  <c r="K49" i="22"/>
  <c r="K50" i="22"/>
  <c r="K51" i="22"/>
  <c r="K52" i="22"/>
  <c r="K53" i="22"/>
  <c r="K54" i="22"/>
  <c r="K55" i="22"/>
  <c r="K56" i="22"/>
  <c r="K57" i="22"/>
  <c r="K58" i="22"/>
  <c r="K59" i="22"/>
  <c r="K60" i="22"/>
  <c r="K61" i="22"/>
  <c r="K62" i="22"/>
  <c r="K63" i="22"/>
  <c r="K64" i="22"/>
  <c r="K65" i="22"/>
  <c r="K66" i="22"/>
  <c r="K67" i="22"/>
  <c r="K68" i="22"/>
  <c r="K69" i="22"/>
  <c r="K70" i="22"/>
  <c r="K71" i="22"/>
  <c r="K72" i="22"/>
  <c r="K73" i="22"/>
  <c r="K74" i="22"/>
  <c r="K75" i="22"/>
  <c r="K76" i="22"/>
  <c r="K77" i="22"/>
  <c r="K78" i="22"/>
  <c r="K79" i="22"/>
  <c r="K80" i="22"/>
  <c r="K81" i="22"/>
  <c r="K82" i="22"/>
  <c r="K83" i="22"/>
  <c r="K84" i="22"/>
  <c r="K85" i="22"/>
  <c r="K86" i="22"/>
  <c r="K87" i="22"/>
  <c r="K88" i="22"/>
  <c r="K89" i="22"/>
  <c r="K90" i="22"/>
  <c r="K91" i="22"/>
  <c r="K92" i="22"/>
  <c r="K93" i="22"/>
  <c r="K94" i="22"/>
  <c r="K95" i="22"/>
  <c r="K96" i="22"/>
  <c r="K97" i="22"/>
  <c r="K98" i="22"/>
  <c r="K99" i="22"/>
  <c r="K100" i="22"/>
  <c r="K101" i="22"/>
  <c r="K102" i="22"/>
  <c r="K103" i="22"/>
  <c r="K104" i="22"/>
  <c r="K105" i="22"/>
  <c r="K106" i="22"/>
  <c r="K107" i="22"/>
  <c r="K108" i="22"/>
  <c r="K109" i="22"/>
  <c r="K110" i="22"/>
  <c r="K111" i="22"/>
  <c r="K112" i="22"/>
  <c r="K113" i="22"/>
  <c r="K114" i="22"/>
  <c r="K115" i="22"/>
  <c r="K116" i="22"/>
  <c r="K117" i="22"/>
  <c r="K118" i="22"/>
  <c r="K119" i="22"/>
  <c r="K120" i="22"/>
  <c r="K121" i="22"/>
  <c r="K122" i="22"/>
  <c r="K123" i="22"/>
  <c r="K124" i="22"/>
  <c r="K125" i="22"/>
  <c r="K126" i="22"/>
  <c r="K127" i="22"/>
  <c r="K128" i="22"/>
  <c r="K129" i="22"/>
  <c r="K130" i="22"/>
  <c r="K131" i="22"/>
  <c r="K132" i="22"/>
  <c r="K133" i="22"/>
  <c r="K134" i="22"/>
  <c r="K135" i="22"/>
  <c r="K136" i="22"/>
  <c r="K137" i="22"/>
  <c r="K138" i="22"/>
  <c r="K139" i="22"/>
  <c r="K140" i="22"/>
  <c r="K141" i="22"/>
  <c r="K142" i="22"/>
  <c r="K143" i="22"/>
  <c r="K144" i="22"/>
  <c r="K145" i="22"/>
  <c r="K146" i="22"/>
  <c r="K147" i="22"/>
  <c r="K148" i="22"/>
  <c r="K149" i="22"/>
  <c r="K150" i="22"/>
  <c r="K151" i="22"/>
  <c r="K152" i="22"/>
  <c r="K153" i="22"/>
  <c r="K154" i="22"/>
  <c r="K155" i="22"/>
  <c r="K156" i="22"/>
  <c r="K157" i="22"/>
  <c r="K158" i="22"/>
  <c r="K159" i="22"/>
  <c r="K160" i="22"/>
  <c r="K161" i="22"/>
  <c r="K162" i="22"/>
  <c r="K163" i="22"/>
  <c r="K164" i="22"/>
  <c r="K165" i="22"/>
  <c r="K166" i="22"/>
  <c r="K167" i="22"/>
  <c r="K168" i="22"/>
  <c r="K169" i="22"/>
  <c r="K170" i="22"/>
  <c r="K171" i="22"/>
  <c r="K172" i="22"/>
  <c r="K173" i="22"/>
  <c r="K174" i="22"/>
  <c r="K175" i="22"/>
  <c r="K176" i="22"/>
  <c r="K177" i="22"/>
  <c r="K178" i="22"/>
  <c r="K179" i="22"/>
  <c r="K180" i="22"/>
  <c r="K181" i="22"/>
  <c r="K182" i="22"/>
  <c r="K183" i="22"/>
  <c r="K184" i="22"/>
  <c r="K185" i="22"/>
  <c r="K186" i="22"/>
  <c r="K187" i="22"/>
  <c r="K188" i="22"/>
  <c r="K189" i="22"/>
  <c r="K190" i="22"/>
  <c r="K191" i="22"/>
  <c r="K192" i="22"/>
  <c r="K193" i="22"/>
  <c r="K194" i="22"/>
  <c r="K195" i="22"/>
  <c r="K196" i="22"/>
  <c r="K197" i="22"/>
  <c r="K198" i="22"/>
  <c r="K199" i="22"/>
  <c r="K200" i="22"/>
  <c r="K201" i="22"/>
  <c r="K202" i="22"/>
  <c r="K203" i="22"/>
  <c r="K204" i="22"/>
  <c r="K205" i="22"/>
  <c r="K206" i="22"/>
  <c r="K207" i="22"/>
  <c r="K208" i="22"/>
  <c r="K209" i="22"/>
  <c r="K210" i="22"/>
  <c r="K211" i="22"/>
  <c r="K212" i="22"/>
  <c r="K5" i="22"/>
  <c r="H6" i="22"/>
  <c r="H7" i="22"/>
  <c r="H8" i="22"/>
  <c r="H9" i="22"/>
  <c r="H10" i="22"/>
  <c r="H11" i="22"/>
  <c r="H12" i="22"/>
  <c r="H13" i="22"/>
  <c r="H14" i="22"/>
  <c r="H15" i="22"/>
  <c r="H16" i="22"/>
  <c r="H17" i="22"/>
  <c r="H18" i="22"/>
  <c r="H19" i="22"/>
  <c r="H20" i="22"/>
  <c r="H21" i="22"/>
  <c r="H22" i="22"/>
  <c r="H23" i="22"/>
  <c r="H24" i="22"/>
  <c r="H25" i="22"/>
  <c r="H26" i="22"/>
  <c r="H27" i="22"/>
  <c r="H28" i="22"/>
  <c r="H29" i="22"/>
  <c r="H30" i="22"/>
  <c r="H31" i="22"/>
  <c r="H32" i="22"/>
  <c r="H33" i="22"/>
  <c r="H34" i="22"/>
  <c r="H35" i="22"/>
  <c r="H36" i="22"/>
  <c r="H37" i="22"/>
  <c r="H38" i="22"/>
  <c r="H39" i="22"/>
  <c r="H40" i="22"/>
  <c r="H41" i="22"/>
  <c r="H42" i="22"/>
  <c r="H43" i="22"/>
  <c r="H44" i="22"/>
  <c r="H45" i="22"/>
  <c r="H46" i="22"/>
  <c r="H47" i="22"/>
  <c r="H48" i="22"/>
  <c r="H49" i="22"/>
  <c r="H50" i="22"/>
  <c r="H51" i="22"/>
  <c r="H52" i="22"/>
  <c r="H53" i="22"/>
  <c r="H54" i="22"/>
  <c r="H55" i="22"/>
  <c r="H56" i="22"/>
  <c r="H57" i="22"/>
  <c r="H58" i="22"/>
  <c r="H59" i="22"/>
  <c r="H60" i="22"/>
  <c r="H61" i="22"/>
  <c r="H62" i="22"/>
  <c r="H63" i="22"/>
  <c r="H64" i="22"/>
  <c r="H65" i="22"/>
  <c r="H66" i="22"/>
  <c r="H67" i="22"/>
  <c r="H68" i="22"/>
  <c r="H69" i="22"/>
  <c r="H70" i="22"/>
  <c r="H71" i="22"/>
  <c r="H72" i="22"/>
  <c r="H73" i="22"/>
  <c r="H74" i="22"/>
  <c r="H75" i="22"/>
  <c r="H76" i="22"/>
  <c r="H77" i="22"/>
  <c r="H78" i="22"/>
  <c r="H79" i="22"/>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H105" i="22"/>
  <c r="H106" i="22"/>
  <c r="H107" i="22"/>
  <c r="H108" i="22"/>
  <c r="H109" i="22"/>
  <c r="H110" i="22"/>
  <c r="H111" i="22"/>
  <c r="H112" i="22"/>
  <c r="H113" i="22"/>
  <c r="H114" i="22"/>
  <c r="H115" i="22"/>
  <c r="H116" i="22"/>
  <c r="H117" i="22"/>
  <c r="H118" i="22"/>
  <c r="H119" i="22"/>
  <c r="H120" i="22"/>
  <c r="H121" i="22"/>
  <c r="H122" i="22"/>
  <c r="H123" i="22"/>
  <c r="H124" i="22"/>
  <c r="H125" i="22"/>
  <c r="H126" i="22"/>
  <c r="H127" i="22"/>
  <c r="H128" i="22"/>
  <c r="H129" i="22"/>
  <c r="H130" i="22"/>
  <c r="H131" i="22"/>
  <c r="H132" i="22"/>
  <c r="H133" i="22"/>
  <c r="H134" i="22"/>
  <c r="H135" i="22"/>
  <c r="H136" i="22"/>
  <c r="H137" i="22"/>
  <c r="H138" i="22"/>
  <c r="H139" i="22"/>
  <c r="H140" i="22"/>
  <c r="H141" i="22"/>
  <c r="H142" i="22"/>
  <c r="H143" i="22"/>
  <c r="H144" i="22"/>
  <c r="H145" i="22"/>
  <c r="H146" i="22"/>
  <c r="H147" i="22"/>
  <c r="H148" i="22"/>
  <c r="H149" i="22"/>
  <c r="H150" i="22"/>
  <c r="H151" i="22"/>
  <c r="H152" i="22"/>
  <c r="H153" i="22"/>
  <c r="H154" i="22"/>
  <c r="H155" i="22"/>
  <c r="H156" i="22"/>
  <c r="H157" i="22"/>
  <c r="H158" i="22"/>
  <c r="H159" i="22"/>
  <c r="H160" i="22"/>
  <c r="H161" i="22"/>
  <c r="H162" i="22"/>
  <c r="H163" i="22"/>
  <c r="H164" i="22"/>
  <c r="H165" i="22"/>
  <c r="H166" i="22"/>
  <c r="H167" i="22"/>
  <c r="H168" i="22"/>
  <c r="H169" i="22"/>
  <c r="H170" i="22"/>
  <c r="H171" i="22"/>
  <c r="H172" i="22"/>
  <c r="H173" i="22"/>
  <c r="H174" i="22"/>
  <c r="H175" i="22"/>
  <c r="H176" i="22"/>
  <c r="H177" i="22"/>
  <c r="H178" i="22"/>
  <c r="H179" i="22"/>
  <c r="H180" i="22"/>
  <c r="H181" i="22"/>
  <c r="H182" i="22"/>
  <c r="H183" i="22"/>
  <c r="H184" i="22"/>
  <c r="H185" i="22"/>
  <c r="H186" i="22"/>
  <c r="H187" i="22"/>
  <c r="H188" i="22"/>
  <c r="H189" i="22"/>
  <c r="H190" i="22"/>
  <c r="H191" i="22"/>
  <c r="H192" i="22"/>
  <c r="H193" i="22"/>
  <c r="H194" i="22"/>
  <c r="H195" i="22"/>
  <c r="H196" i="22"/>
  <c r="H197" i="22"/>
  <c r="H198" i="22"/>
  <c r="H199" i="22"/>
  <c r="H200" i="22"/>
  <c r="H201" i="22"/>
  <c r="H202" i="22"/>
  <c r="H203" i="22"/>
  <c r="H204" i="22"/>
  <c r="H205" i="22"/>
  <c r="H206" i="22"/>
  <c r="H207" i="22"/>
  <c r="H208" i="22"/>
  <c r="H209" i="22"/>
  <c r="H210" i="22"/>
  <c r="H211" i="22"/>
  <c r="H212" i="22"/>
  <c r="H5" i="22"/>
  <c r="Q212" i="22"/>
  <c r="Q211" i="22"/>
  <c r="Q210" i="22"/>
  <c r="Q209" i="22"/>
  <c r="Q208" i="22"/>
  <c r="Q207" i="22"/>
  <c r="Q206" i="22"/>
  <c r="Q205" i="22"/>
  <c r="Q204" i="22"/>
  <c r="Q203" i="22"/>
  <c r="Q202" i="22"/>
  <c r="Q201" i="22"/>
  <c r="Q200" i="22"/>
  <c r="Q199" i="22"/>
  <c r="Q198" i="22"/>
  <c r="Q197" i="22"/>
  <c r="Q196" i="22"/>
  <c r="Q195" i="22"/>
  <c r="Q194" i="22"/>
  <c r="Q193" i="22"/>
  <c r="Q192" i="22"/>
  <c r="Q191" i="22"/>
  <c r="Q190" i="22"/>
  <c r="Q189" i="22"/>
  <c r="Q188" i="22"/>
  <c r="Q187" i="22"/>
  <c r="Q186" i="22"/>
  <c r="Q185" i="22"/>
  <c r="Q184" i="22"/>
  <c r="Q183" i="22"/>
  <c r="Q182" i="22"/>
  <c r="Q181" i="22"/>
  <c r="Q180" i="22"/>
  <c r="Q179" i="22"/>
  <c r="Q178" i="22"/>
  <c r="Q177" i="22"/>
  <c r="Q176" i="22"/>
  <c r="Q175" i="22"/>
  <c r="Q174" i="22"/>
  <c r="Q173" i="22"/>
  <c r="Q172" i="22"/>
  <c r="Q171" i="22"/>
  <c r="Q170" i="22"/>
  <c r="Q169" i="22"/>
  <c r="Q168" i="22"/>
  <c r="Q167" i="22"/>
  <c r="Q166" i="22"/>
  <c r="Q165" i="22"/>
  <c r="Q164" i="22"/>
  <c r="Q163" i="22"/>
  <c r="Q162" i="22"/>
  <c r="Q161" i="22"/>
  <c r="Q160" i="22"/>
  <c r="Q159" i="22"/>
  <c r="Q158" i="22"/>
  <c r="Q157" i="22"/>
  <c r="Q156" i="22"/>
  <c r="Q155" i="22"/>
  <c r="Q154" i="22"/>
  <c r="Q153" i="22"/>
  <c r="Q152" i="22"/>
  <c r="Q151" i="22"/>
  <c r="Q150" i="22"/>
  <c r="Q149" i="22"/>
  <c r="Q148" i="22"/>
  <c r="Q147" i="22"/>
  <c r="Q146" i="22"/>
  <c r="Q145" i="22"/>
  <c r="Q144" i="22"/>
  <c r="Q143" i="22"/>
  <c r="Q142" i="22"/>
  <c r="Q141" i="22"/>
  <c r="Q140" i="22"/>
  <c r="Q139" i="22"/>
  <c r="Q138" i="22"/>
  <c r="Q137" i="22"/>
  <c r="Q136" i="22"/>
  <c r="Q135" i="22"/>
  <c r="Q134" i="22"/>
  <c r="Q133" i="22"/>
  <c r="Q132" i="22"/>
  <c r="Q131" i="22"/>
  <c r="Q130" i="22"/>
  <c r="Q129" i="22"/>
  <c r="Q128" i="22"/>
  <c r="Q127" i="22"/>
  <c r="Q126" i="22"/>
  <c r="Q125" i="22"/>
  <c r="Q124" i="22"/>
  <c r="Q123" i="22"/>
  <c r="Q122" i="22"/>
  <c r="Q121" i="22"/>
  <c r="Q120" i="22"/>
  <c r="Q119" i="22"/>
  <c r="Q118" i="22"/>
  <c r="Q117" i="22"/>
  <c r="Q116" i="22"/>
  <c r="Q115" i="22"/>
  <c r="Q114" i="22"/>
  <c r="Q113" i="22"/>
  <c r="Q112" i="22"/>
  <c r="Q111" i="22"/>
  <c r="Q110" i="22"/>
  <c r="Q109" i="22"/>
  <c r="Q108" i="22"/>
  <c r="Q107" i="22"/>
  <c r="Q106" i="22"/>
  <c r="Q105" i="22"/>
  <c r="Q104" i="22"/>
  <c r="Q103" i="22"/>
  <c r="Q102" i="22"/>
  <c r="Q101" i="22"/>
  <c r="Q100" i="22"/>
  <c r="Q99" i="22"/>
  <c r="Q98" i="22"/>
  <c r="Q97" i="22"/>
  <c r="Q96" i="22"/>
  <c r="Q95" i="22"/>
  <c r="Q94" i="22"/>
  <c r="Q93" i="22"/>
  <c r="Q92" i="22"/>
  <c r="Q91" i="22"/>
  <c r="Q90" i="22"/>
  <c r="Q89" i="22"/>
  <c r="Q88" i="22"/>
  <c r="Q87" i="22"/>
  <c r="Q86" i="22"/>
  <c r="Q85" i="22"/>
  <c r="Q84" i="22"/>
  <c r="Q83" i="22"/>
  <c r="Q82" i="22"/>
  <c r="Q81" i="22"/>
  <c r="Q80" i="22"/>
  <c r="Q79" i="22"/>
  <c r="Q78" i="22"/>
  <c r="Q77" i="22"/>
  <c r="Q76" i="22"/>
  <c r="Q75" i="22"/>
  <c r="Q74" i="22"/>
  <c r="Q73" i="22"/>
  <c r="Q72" i="22"/>
  <c r="Q71" i="22"/>
  <c r="Q70" i="22"/>
  <c r="Q69" i="22"/>
  <c r="Q68" i="22"/>
  <c r="Q67" i="22"/>
  <c r="Q66" i="22"/>
  <c r="Q65" i="22"/>
  <c r="Q64" i="22"/>
  <c r="Q63" i="22"/>
  <c r="Q62" i="22"/>
  <c r="Q61" i="22"/>
  <c r="Q60" i="22"/>
  <c r="Q59" i="22"/>
  <c r="Q58" i="22"/>
  <c r="Q57" i="22"/>
  <c r="Q56" i="22"/>
  <c r="Q55" i="22"/>
  <c r="Q54" i="22"/>
  <c r="Q53" i="22"/>
  <c r="Q52" i="22"/>
  <c r="Q51" i="22"/>
  <c r="Q50" i="22"/>
  <c r="Q49" i="22"/>
  <c r="Q48" i="22"/>
  <c r="Q47" i="22"/>
  <c r="Q46" i="22"/>
  <c r="Q45" i="22"/>
  <c r="Q44" i="22"/>
  <c r="Q43" i="22"/>
  <c r="Q42" i="22"/>
  <c r="Q41" i="22"/>
  <c r="Q40" i="22"/>
  <c r="Q39" i="22"/>
  <c r="Q38" i="22"/>
  <c r="Q37" i="22"/>
  <c r="Q36" i="22"/>
  <c r="Q35" i="22"/>
  <c r="Q34" i="22"/>
  <c r="Q33" i="22"/>
  <c r="Q32" i="22"/>
  <c r="Q31" i="22"/>
  <c r="Q30" i="22"/>
  <c r="Q29" i="22"/>
  <c r="Q28" i="22"/>
  <c r="Q27" i="22"/>
  <c r="Q26" i="22"/>
  <c r="Q25" i="22"/>
  <c r="Q24" i="22"/>
  <c r="Q23" i="22"/>
  <c r="Q22" i="22"/>
  <c r="Q21" i="22"/>
  <c r="Q20" i="22"/>
  <c r="Q19" i="22"/>
  <c r="Q18" i="22"/>
  <c r="Q17" i="22"/>
  <c r="Q16" i="22"/>
  <c r="Q15" i="22"/>
  <c r="Q14" i="22"/>
  <c r="Q13" i="22"/>
  <c r="Q12" i="22"/>
  <c r="Q11" i="22"/>
  <c r="Q10" i="22"/>
  <c r="Q9" i="22"/>
  <c r="Q8" i="22"/>
  <c r="Q7" i="22"/>
  <c r="Q6" i="22"/>
  <c r="Q5" i="22"/>
  <c r="E6" i="22"/>
  <c r="E7" i="22"/>
  <c r="E8" i="22"/>
  <c r="E9" i="22"/>
  <c r="E10" i="22"/>
  <c r="E11" i="22"/>
  <c r="E12" i="22"/>
  <c r="E13" i="22"/>
  <c r="E14" i="22"/>
  <c r="E15" i="22"/>
  <c r="E16" i="22"/>
  <c r="E17" i="22"/>
  <c r="E18" i="22"/>
  <c r="E19" i="22"/>
  <c r="E20" i="22"/>
  <c r="E21" i="22"/>
  <c r="E22" i="22"/>
  <c r="E23" i="22"/>
  <c r="E24" i="22"/>
  <c r="E25" i="22"/>
  <c r="E26" i="22"/>
  <c r="E27" i="22"/>
  <c r="E28" i="22"/>
  <c r="E29" i="22"/>
  <c r="E30" i="22"/>
  <c r="E31" i="22"/>
  <c r="E32" i="22"/>
  <c r="E33" i="22"/>
  <c r="E34" i="22"/>
  <c r="E35" i="22"/>
  <c r="E36" i="22"/>
  <c r="E37" i="22"/>
  <c r="E38" i="22"/>
  <c r="E39" i="22"/>
  <c r="E40" i="22"/>
  <c r="E41" i="22"/>
  <c r="E42" i="22"/>
  <c r="E43" i="22"/>
  <c r="E44" i="22"/>
  <c r="E45" i="22"/>
  <c r="E46" i="22"/>
  <c r="E47" i="22"/>
  <c r="E48" i="22"/>
  <c r="E49" i="22"/>
  <c r="E50" i="22"/>
  <c r="E51" i="22"/>
  <c r="E52" i="22"/>
  <c r="E53" i="22"/>
  <c r="E54" i="22"/>
  <c r="E55" i="22"/>
  <c r="E56" i="22"/>
  <c r="E57" i="22"/>
  <c r="E58" i="22"/>
  <c r="E59" i="22"/>
  <c r="E60" i="22"/>
  <c r="E61" i="22"/>
  <c r="E62" i="22"/>
  <c r="E63" i="22"/>
  <c r="E64" i="22"/>
  <c r="E65" i="22"/>
  <c r="E66" i="22"/>
  <c r="E67" i="22"/>
  <c r="E68" i="22"/>
  <c r="E69" i="22"/>
  <c r="E70" i="22"/>
  <c r="E71" i="22"/>
  <c r="E72" i="22"/>
  <c r="E73" i="22"/>
  <c r="E74" i="22"/>
  <c r="E75" i="22"/>
  <c r="E76" i="22"/>
  <c r="E77" i="22"/>
  <c r="E78" i="22"/>
  <c r="E79" i="22"/>
  <c r="E80" i="22"/>
  <c r="E81" i="22"/>
  <c r="E82" i="22"/>
  <c r="E83" i="22"/>
  <c r="E84" i="22"/>
  <c r="E85" i="22"/>
  <c r="E86" i="22"/>
  <c r="E87" i="22"/>
  <c r="E88" i="22"/>
  <c r="E89" i="22"/>
  <c r="E90" i="22"/>
  <c r="E91" i="22"/>
  <c r="E92" i="22"/>
  <c r="E93" i="22"/>
  <c r="E94" i="22"/>
  <c r="E95" i="22"/>
  <c r="E96" i="22"/>
  <c r="E97" i="22"/>
  <c r="E98" i="22"/>
  <c r="E99" i="22"/>
  <c r="E100" i="22"/>
  <c r="E101" i="22"/>
  <c r="E102" i="22"/>
  <c r="E103" i="22"/>
  <c r="E104" i="22"/>
  <c r="E105" i="22"/>
  <c r="E106" i="22"/>
  <c r="E107" i="22"/>
  <c r="E108" i="22"/>
  <c r="E109" i="22"/>
  <c r="E110" i="22"/>
  <c r="E111" i="22"/>
  <c r="E112" i="22"/>
  <c r="E113" i="22"/>
  <c r="E114" i="22"/>
  <c r="E115" i="22"/>
  <c r="E116" i="22"/>
  <c r="E117" i="22"/>
  <c r="E118" i="22"/>
  <c r="E119" i="22"/>
  <c r="E120" i="22"/>
  <c r="E121" i="22"/>
  <c r="E122" i="22"/>
  <c r="E123" i="22"/>
  <c r="E124" i="22"/>
  <c r="E125" i="22"/>
  <c r="E126" i="22"/>
  <c r="E127" i="22"/>
  <c r="E128" i="22"/>
  <c r="E129" i="22"/>
  <c r="E130" i="22"/>
  <c r="E131" i="22"/>
  <c r="E132" i="22"/>
  <c r="E133" i="22"/>
  <c r="E134" i="22"/>
  <c r="E135" i="22"/>
  <c r="E136" i="22"/>
  <c r="E137" i="22"/>
  <c r="E138" i="22"/>
  <c r="E139" i="22"/>
  <c r="E140" i="22"/>
  <c r="E141" i="22"/>
  <c r="E142" i="22"/>
  <c r="E143" i="22"/>
  <c r="E144" i="22"/>
  <c r="E145" i="22"/>
  <c r="E146" i="22"/>
  <c r="E147" i="22"/>
  <c r="E148" i="22"/>
  <c r="E149" i="22"/>
  <c r="E150" i="22"/>
  <c r="E151" i="22"/>
  <c r="E152" i="22"/>
  <c r="E153" i="22"/>
  <c r="E154" i="22"/>
  <c r="E155" i="22"/>
  <c r="E156" i="22"/>
  <c r="E157" i="22"/>
  <c r="E158" i="22"/>
  <c r="E159" i="22"/>
  <c r="E160" i="22"/>
  <c r="E161" i="22"/>
  <c r="E162" i="22"/>
  <c r="E163" i="22"/>
  <c r="E164" i="22"/>
  <c r="E165" i="22"/>
  <c r="E166" i="22"/>
  <c r="E167" i="22"/>
  <c r="E168" i="22"/>
  <c r="E169" i="22"/>
  <c r="E170" i="22"/>
  <c r="E171" i="22"/>
  <c r="E172" i="22"/>
  <c r="E173" i="22"/>
  <c r="E174" i="22"/>
  <c r="E175" i="22"/>
  <c r="E176" i="22"/>
  <c r="E177" i="22"/>
  <c r="E178" i="22"/>
  <c r="E179" i="22"/>
  <c r="E180" i="22"/>
  <c r="E181" i="22"/>
  <c r="E182" i="22"/>
  <c r="E183" i="22"/>
  <c r="E184" i="22"/>
  <c r="E185" i="22"/>
  <c r="E186" i="22"/>
  <c r="E187" i="22"/>
  <c r="E188" i="22"/>
  <c r="E189" i="22"/>
  <c r="E190" i="22"/>
  <c r="E191" i="22"/>
  <c r="E192" i="22"/>
  <c r="E193" i="22"/>
  <c r="E194" i="22"/>
  <c r="E195" i="22"/>
  <c r="E196" i="22"/>
  <c r="E197" i="22"/>
  <c r="E198" i="22"/>
  <c r="E199" i="22"/>
  <c r="E200" i="22"/>
  <c r="E201" i="22"/>
  <c r="E202" i="22"/>
  <c r="E203" i="22"/>
  <c r="E204" i="22"/>
  <c r="E205" i="22"/>
  <c r="E206" i="22"/>
  <c r="E207" i="22"/>
  <c r="E208" i="22"/>
  <c r="E209" i="22"/>
  <c r="E210" i="22"/>
  <c r="E211" i="22"/>
  <c r="E212" i="22"/>
  <c r="E5" i="22"/>
  <c r="T8" i="22"/>
  <c r="T20" i="22" s="1"/>
  <c r="T7" i="22"/>
  <c r="T19" i="22" s="1"/>
  <c r="T6" i="22"/>
  <c r="T18" i="22" s="1"/>
  <c r="T5" i="22"/>
  <c r="T17" i="22" s="1"/>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G47" i="23"/>
  <c r="G48" i="23"/>
  <c r="G49" i="23"/>
  <c r="G50" i="23"/>
  <c r="G51" i="23"/>
  <c r="G52" i="23"/>
  <c r="G53" i="23"/>
  <c r="G54" i="23"/>
  <c r="G55" i="23"/>
  <c r="G56" i="23"/>
  <c r="G57" i="23"/>
  <c r="G58" i="23"/>
  <c r="G59" i="23"/>
  <c r="G60" i="23"/>
  <c r="G61" i="23"/>
  <c r="G62" i="23"/>
  <c r="G63" i="23"/>
  <c r="G64" i="23"/>
  <c r="G65" i="23"/>
  <c r="G66" i="23"/>
  <c r="G67" i="23"/>
  <c r="G68" i="23"/>
  <c r="G69" i="23"/>
  <c r="G70" i="23"/>
  <c r="G71" i="23"/>
  <c r="G72" i="23"/>
  <c r="G73" i="23"/>
  <c r="G74" i="23"/>
  <c r="G75" i="23"/>
  <c r="G76" i="23"/>
  <c r="G77" i="23"/>
  <c r="G78" i="23"/>
  <c r="G79" i="23"/>
  <c r="G80" i="23"/>
  <c r="G81" i="23"/>
  <c r="G82" i="23"/>
  <c r="G83" i="23"/>
  <c r="G84" i="23"/>
  <c r="G85" i="23"/>
  <c r="G86" i="23"/>
  <c r="G87" i="23"/>
  <c r="G88" i="23"/>
  <c r="G89" i="23"/>
  <c r="G90" i="23"/>
  <c r="G91" i="23"/>
  <c r="G92" i="23"/>
  <c r="G93" i="23"/>
  <c r="G94" i="23"/>
  <c r="G95" i="23"/>
  <c r="G96" i="23"/>
  <c r="G97" i="23"/>
  <c r="G98" i="23"/>
  <c r="G99" i="23"/>
  <c r="G100" i="23"/>
  <c r="G101" i="23"/>
  <c r="G102" i="23"/>
  <c r="G103" i="23"/>
  <c r="G104" i="23"/>
  <c r="G105" i="23"/>
  <c r="G106" i="23"/>
  <c r="G107" i="23"/>
  <c r="G108" i="23"/>
  <c r="G109" i="23"/>
  <c r="G110" i="23"/>
  <c r="G111" i="23"/>
  <c r="G112" i="23"/>
  <c r="G113" i="23"/>
  <c r="G114" i="23"/>
  <c r="G115" i="23"/>
  <c r="G116" i="23"/>
  <c r="G117" i="23"/>
  <c r="G118" i="23"/>
  <c r="G119" i="23"/>
  <c r="G120" i="23"/>
  <c r="G121" i="23"/>
  <c r="G122" i="23"/>
  <c r="G123" i="23"/>
  <c r="G124" i="23"/>
  <c r="G125" i="23"/>
  <c r="G126" i="23"/>
  <c r="G127" i="23"/>
  <c r="G128" i="23"/>
  <c r="G129" i="23"/>
  <c r="G130" i="23"/>
  <c r="G131" i="23"/>
  <c r="G132" i="23"/>
  <c r="G133" i="23"/>
  <c r="G134" i="23"/>
  <c r="G135" i="23"/>
  <c r="G136" i="23"/>
  <c r="G137" i="23"/>
  <c r="G138" i="23"/>
  <c r="G139" i="23"/>
  <c r="G140" i="23"/>
  <c r="G141" i="23"/>
  <c r="G142" i="23"/>
  <c r="G143" i="23"/>
  <c r="G144" i="23"/>
  <c r="G145" i="23"/>
  <c r="G146" i="23"/>
  <c r="G147" i="23"/>
  <c r="G148" i="23"/>
  <c r="G149" i="23"/>
  <c r="G150" i="23"/>
  <c r="G151" i="23"/>
  <c r="G152" i="23"/>
  <c r="G153" i="23"/>
  <c r="G154" i="23"/>
  <c r="G155" i="23"/>
  <c r="G156" i="23"/>
  <c r="G157" i="23"/>
  <c r="G158" i="23"/>
  <c r="G159" i="23"/>
  <c r="G160" i="23"/>
  <c r="G161" i="23"/>
  <c r="G162" i="23"/>
  <c r="G163" i="23"/>
  <c r="G164" i="23"/>
  <c r="G165" i="23"/>
  <c r="G166" i="23"/>
  <c r="G167" i="23"/>
  <c r="G168" i="23"/>
  <c r="G169" i="23"/>
  <c r="G170" i="23"/>
  <c r="G171" i="23"/>
  <c r="G172" i="23"/>
  <c r="G173" i="23"/>
  <c r="G174" i="23"/>
  <c r="G175" i="23"/>
  <c r="G176" i="23"/>
  <c r="G177" i="23"/>
  <c r="G178" i="23"/>
  <c r="G179" i="23"/>
  <c r="G180" i="23"/>
  <c r="G181" i="23"/>
  <c r="G182" i="23"/>
  <c r="G183" i="23"/>
  <c r="G184" i="23"/>
  <c r="G185" i="23"/>
  <c r="G186" i="23"/>
  <c r="G187" i="23"/>
  <c r="G188" i="23"/>
  <c r="G189" i="23"/>
  <c r="G190" i="23"/>
  <c r="G191" i="23"/>
  <c r="G192" i="23"/>
  <c r="G193" i="23"/>
  <c r="G194" i="23"/>
  <c r="G195" i="23"/>
  <c r="G196" i="23"/>
  <c r="G197" i="23"/>
  <c r="G198" i="23"/>
  <c r="G199" i="23"/>
  <c r="G200" i="23"/>
  <c r="G201" i="23"/>
  <c r="G202" i="23"/>
  <c r="G203" i="23"/>
  <c r="G204" i="23"/>
  <c r="G205" i="23"/>
  <c r="G206" i="23"/>
  <c r="G207" i="23"/>
  <c r="G208" i="23"/>
  <c r="G209" i="23"/>
  <c r="G210" i="23"/>
  <c r="G211" i="23"/>
  <c r="G212" i="23"/>
  <c r="G6" i="23"/>
  <c r="G7" i="23"/>
  <c r="G8" i="23"/>
  <c r="G9" i="23"/>
  <c r="G10" i="23"/>
  <c r="G11" i="23"/>
  <c r="G12" i="23"/>
  <c r="G13" i="23"/>
  <c r="G14" i="23"/>
  <c r="G15" i="23"/>
  <c r="G16" i="23"/>
  <c r="G17" i="23"/>
  <c r="G5" i="23"/>
  <c r="D6" i="23"/>
  <c r="D7" i="23"/>
  <c r="D8" i="23"/>
  <c r="D9" i="23"/>
  <c r="D10" i="23"/>
  <c r="D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212" i="23"/>
  <c r="D5" i="23"/>
  <c r="K37" i="21"/>
  <c r="K30" i="21"/>
  <c r="E22" i="21"/>
  <c r="J37" i="21" s="1"/>
  <c r="F15" i="21"/>
  <c r="F14" i="21"/>
  <c r="U8" i="22" l="1"/>
  <c r="U7" i="22"/>
  <c r="U19" i="22" s="1"/>
  <c r="Y19" i="22" s="1"/>
  <c r="I11" i="21" s="1"/>
  <c r="M4" i="23"/>
  <c r="U6" i="22"/>
  <c r="U18" i="22" s="1"/>
  <c r="Y18" i="22" s="1"/>
  <c r="I10" i="21" s="1"/>
  <c r="C29" i="16"/>
  <c r="C23" i="18" s="1"/>
  <c r="C22" i="18"/>
  <c r="M3" i="23"/>
  <c r="U5" i="22"/>
  <c r="U17" i="22" s="1"/>
  <c r="Y17" i="22" s="1"/>
  <c r="I9" i="21" s="1"/>
  <c r="U20" i="22"/>
  <c r="Y20" i="22" s="1"/>
  <c r="I12" i="21" s="1"/>
  <c r="J4" i="23" l="1"/>
  <c r="J11" i="23" s="1"/>
  <c r="I8" i="21" s="1"/>
  <c r="I15" i="21" l="1"/>
  <c r="I14" i="21"/>
  <c r="C11" i="20"/>
  <c r="C35" i="19"/>
  <c r="E26" i="19"/>
  <c r="C41" i="18"/>
  <c r="C14" i="18"/>
  <c r="C13" i="18"/>
  <c r="C12" i="18"/>
  <c r="C11" i="18"/>
  <c r="C10" i="18"/>
  <c r="C9" i="18"/>
  <c r="C8" i="18"/>
  <c r="C40" i="18"/>
  <c r="C49" i="16"/>
  <c r="C56" i="16" s="1"/>
  <c r="E57" i="14"/>
  <c r="F57" i="14"/>
  <c r="G57" i="14"/>
  <c r="D57" i="14"/>
  <c r="C6" i="13"/>
  <c r="C61" i="14"/>
  <c r="D61" i="14"/>
  <c r="E61" i="14"/>
  <c r="F61" i="14"/>
  <c r="G61" i="14"/>
  <c r="H61" i="14"/>
  <c r="I61" i="14"/>
  <c r="J61" i="14"/>
  <c r="K61" i="14"/>
  <c r="C62" i="14"/>
  <c r="D62" i="14"/>
  <c r="E62" i="14"/>
  <c r="F62" i="14"/>
  <c r="G62" i="14"/>
  <c r="H62" i="14"/>
  <c r="I62" i="14"/>
  <c r="J62" i="14"/>
  <c r="K62" i="14"/>
  <c r="C63" i="14"/>
  <c r="D63" i="14"/>
  <c r="E63" i="14"/>
  <c r="F63" i="14"/>
  <c r="G63" i="14"/>
  <c r="H63" i="14"/>
  <c r="I63" i="14"/>
  <c r="J63" i="14"/>
  <c r="K63" i="14"/>
  <c r="C64" i="14"/>
  <c r="D64" i="14"/>
  <c r="E64" i="14"/>
  <c r="F64" i="14"/>
  <c r="G64" i="14"/>
  <c r="H64" i="14"/>
  <c r="I64" i="14"/>
  <c r="J64" i="14"/>
  <c r="K64" i="14"/>
  <c r="D60" i="14"/>
  <c r="E60" i="14"/>
  <c r="F60" i="14"/>
  <c r="G60" i="14"/>
  <c r="H60" i="14"/>
  <c r="I60" i="14"/>
  <c r="J60" i="14"/>
  <c r="K60" i="14"/>
  <c r="C60" i="14"/>
  <c r="D59" i="14"/>
  <c r="E59" i="14"/>
  <c r="F59" i="14"/>
  <c r="G59" i="14"/>
  <c r="H59" i="14"/>
  <c r="I59" i="14"/>
  <c r="J59" i="14"/>
  <c r="K59" i="14"/>
  <c r="C59" i="14"/>
  <c r="C56" i="14"/>
  <c r="D56" i="14"/>
  <c r="E56" i="14"/>
  <c r="F56" i="14"/>
  <c r="G56" i="14"/>
  <c r="H56" i="14"/>
  <c r="I56" i="14"/>
  <c r="J56" i="14"/>
  <c r="K56" i="14"/>
  <c r="C57" i="14"/>
  <c r="H57" i="14"/>
  <c r="I57" i="14"/>
  <c r="J57" i="14"/>
  <c r="K57" i="14"/>
  <c r="C58" i="14"/>
  <c r="D58" i="14"/>
  <c r="E58" i="14"/>
  <c r="F58" i="14"/>
  <c r="G58" i="14"/>
  <c r="H58" i="14"/>
  <c r="I58" i="14"/>
  <c r="J58" i="14"/>
  <c r="K58" i="14"/>
  <c r="D55" i="14"/>
  <c r="E55" i="14"/>
  <c r="F55" i="14"/>
  <c r="G55" i="14"/>
  <c r="H55" i="14"/>
  <c r="I55" i="14"/>
  <c r="J55" i="14"/>
  <c r="K55" i="14"/>
  <c r="C55" i="14"/>
  <c r="D46" i="14"/>
  <c r="E46" i="14"/>
  <c r="F46" i="14"/>
  <c r="G46" i="14"/>
  <c r="H46" i="14"/>
  <c r="I46" i="14"/>
  <c r="J46" i="14"/>
  <c r="K46" i="14"/>
  <c r="D47" i="14"/>
  <c r="E47" i="14"/>
  <c r="F47" i="14"/>
  <c r="G47" i="14"/>
  <c r="H47" i="14"/>
  <c r="I47" i="14"/>
  <c r="J47" i="14"/>
  <c r="K47" i="14"/>
  <c r="D48" i="14"/>
  <c r="E48" i="14"/>
  <c r="F48" i="14"/>
  <c r="G48" i="14"/>
  <c r="H48" i="14"/>
  <c r="I48" i="14"/>
  <c r="J48" i="14"/>
  <c r="K48" i="14"/>
  <c r="D49" i="14"/>
  <c r="E49" i="14"/>
  <c r="F49" i="14"/>
  <c r="G49" i="14"/>
  <c r="H49" i="14"/>
  <c r="I49" i="14"/>
  <c r="J49" i="14"/>
  <c r="K49" i="14"/>
  <c r="D50" i="14"/>
  <c r="E50" i="14"/>
  <c r="F50" i="14"/>
  <c r="G50" i="14"/>
  <c r="H50" i="14"/>
  <c r="I50" i="14"/>
  <c r="J50" i="14"/>
  <c r="K50" i="14"/>
  <c r="D51" i="14"/>
  <c r="E51" i="14"/>
  <c r="F51" i="14"/>
  <c r="G51" i="14"/>
  <c r="H51" i="14"/>
  <c r="I51" i="14"/>
  <c r="J51" i="14"/>
  <c r="K51" i="14"/>
  <c r="C48" i="14"/>
  <c r="C49" i="14"/>
  <c r="C50" i="14"/>
  <c r="C51" i="14"/>
  <c r="C47" i="14"/>
  <c r="C46" i="14"/>
  <c r="D42" i="14"/>
  <c r="E42" i="14"/>
  <c r="F42" i="14"/>
  <c r="G42" i="14"/>
  <c r="H42" i="14"/>
  <c r="I42" i="14"/>
  <c r="J42" i="14"/>
  <c r="K42" i="14"/>
  <c r="D43" i="14"/>
  <c r="E43" i="14"/>
  <c r="F43" i="14"/>
  <c r="G43" i="14"/>
  <c r="H43" i="14"/>
  <c r="I43" i="14"/>
  <c r="J43" i="14"/>
  <c r="K43" i="14"/>
  <c r="D44" i="14"/>
  <c r="E44" i="14"/>
  <c r="F44" i="14"/>
  <c r="G44" i="14"/>
  <c r="H44" i="14"/>
  <c r="I44" i="14"/>
  <c r="J44" i="14"/>
  <c r="K44" i="14"/>
  <c r="D45" i="14"/>
  <c r="E45" i="14"/>
  <c r="F45" i="14"/>
  <c r="G45" i="14"/>
  <c r="H45" i="14"/>
  <c r="I45" i="14"/>
  <c r="J45" i="14"/>
  <c r="K45" i="14"/>
  <c r="C43" i="14"/>
  <c r="C44" i="14"/>
  <c r="C45" i="14"/>
  <c r="C42" i="14"/>
  <c r="C25" i="14"/>
  <c r="K37" i="14"/>
  <c r="J37" i="14"/>
  <c r="I37" i="14"/>
  <c r="H37" i="14"/>
  <c r="G37" i="14"/>
  <c r="F37" i="14"/>
  <c r="E37" i="14"/>
  <c r="D37" i="14"/>
  <c r="C37" i="14"/>
  <c r="K36" i="14"/>
  <c r="J36" i="14"/>
  <c r="I36" i="14"/>
  <c r="H36" i="14"/>
  <c r="G36" i="14"/>
  <c r="F36" i="14"/>
  <c r="E36" i="14"/>
  <c r="D36" i="14"/>
  <c r="C36" i="14"/>
  <c r="K35" i="14"/>
  <c r="J35" i="14"/>
  <c r="I35" i="14"/>
  <c r="H35" i="14"/>
  <c r="G35" i="14"/>
  <c r="F35" i="14"/>
  <c r="E35" i="14"/>
  <c r="D35" i="14"/>
  <c r="C35" i="14"/>
  <c r="K34" i="14"/>
  <c r="J34" i="14"/>
  <c r="I34" i="14"/>
  <c r="H34" i="14"/>
  <c r="G34" i="14"/>
  <c r="F34" i="14"/>
  <c r="E34" i="14"/>
  <c r="D34" i="14"/>
  <c r="C34" i="14"/>
  <c r="K33" i="14"/>
  <c r="J33" i="14"/>
  <c r="I33" i="14"/>
  <c r="H33" i="14"/>
  <c r="G33" i="14"/>
  <c r="F33" i="14"/>
  <c r="E33" i="14"/>
  <c r="D33" i="14"/>
  <c r="C33" i="14"/>
  <c r="K32" i="14"/>
  <c r="J32" i="14"/>
  <c r="I32" i="14"/>
  <c r="H32" i="14"/>
  <c r="G32" i="14"/>
  <c r="F32" i="14"/>
  <c r="E32" i="14"/>
  <c r="D32" i="14"/>
  <c r="C32" i="14"/>
  <c r="K31" i="14"/>
  <c r="J31" i="14"/>
  <c r="I31" i="14"/>
  <c r="H31" i="14"/>
  <c r="G31" i="14"/>
  <c r="F31" i="14"/>
  <c r="E31" i="14"/>
  <c r="D31" i="14"/>
  <c r="C31" i="14"/>
  <c r="K30" i="14"/>
  <c r="J30" i="14"/>
  <c r="I30" i="14"/>
  <c r="H30" i="14"/>
  <c r="G30" i="14"/>
  <c r="F30" i="14"/>
  <c r="E30" i="14"/>
  <c r="D30" i="14"/>
  <c r="C30" i="14"/>
  <c r="K29" i="14"/>
  <c r="J29" i="14"/>
  <c r="I29" i="14"/>
  <c r="H29" i="14"/>
  <c r="G29" i="14"/>
  <c r="F29" i="14"/>
  <c r="E29" i="14"/>
  <c r="D29" i="14"/>
  <c r="C29" i="14"/>
  <c r="K28" i="14"/>
  <c r="J28" i="14"/>
  <c r="I28" i="14"/>
  <c r="H28" i="14"/>
  <c r="G28" i="14"/>
  <c r="F28" i="14"/>
  <c r="E28" i="14"/>
  <c r="D28" i="14"/>
  <c r="C28" i="14"/>
  <c r="K27" i="14"/>
  <c r="J27" i="14"/>
  <c r="I27" i="14"/>
  <c r="H27" i="14"/>
  <c r="G27" i="14"/>
  <c r="F27" i="14"/>
  <c r="E27" i="14"/>
  <c r="D27" i="14"/>
  <c r="C27" i="14"/>
  <c r="K26" i="14"/>
  <c r="J26" i="14"/>
  <c r="I26" i="14"/>
  <c r="H26" i="14"/>
  <c r="G26" i="14"/>
  <c r="F26" i="14"/>
  <c r="E26" i="14"/>
  <c r="D26" i="14"/>
  <c r="C26" i="14"/>
  <c r="K25" i="14"/>
  <c r="J25" i="14"/>
  <c r="I25" i="14"/>
  <c r="H25" i="14"/>
  <c r="G25" i="14"/>
  <c r="F25" i="14"/>
  <c r="E25" i="14"/>
  <c r="D25" i="14"/>
  <c r="K24" i="14"/>
  <c r="J24" i="14"/>
  <c r="I24" i="14"/>
  <c r="H24" i="14"/>
  <c r="G24" i="14"/>
  <c r="F24" i="14"/>
  <c r="E24" i="14"/>
  <c r="D24" i="14"/>
  <c r="C24" i="14"/>
  <c r="D23" i="14"/>
  <c r="E23" i="14"/>
  <c r="F23" i="14"/>
  <c r="G23" i="14"/>
  <c r="H23" i="14"/>
  <c r="I23" i="14"/>
  <c r="J23" i="14"/>
  <c r="K23" i="14"/>
  <c r="C23" i="14"/>
  <c r="C7" i="14"/>
  <c r="D7" i="14"/>
  <c r="E7" i="14"/>
  <c r="F7" i="14"/>
  <c r="G7" i="14"/>
  <c r="H7" i="14"/>
  <c r="I7" i="14"/>
  <c r="J7" i="14"/>
  <c r="K7" i="14"/>
  <c r="C8" i="14"/>
  <c r="D8" i="14"/>
  <c r="E8" i="14"/>
  <c r="F8" i="14"/>
  <c r="G8" i="14"/>
  <c r="H8" i="14"/>
  <c r="I8" i="14"/>
  <c r="J8" i="14"/>
  <c r="K8" i="14"/>
  <c r="C9" i="14"/>
  <c r="D9" i="14"/>
  <c r="E9" i="14"/>
  <c r="F9" i="14"/>
  <c r="G9" i="14"/>
  <c r="H9" i="14"/>
  <c r="I9" i="14"/>
  <c r="J9" i="14"/>
  <c r="K9" i="14"/>
  <c r="C10" i="14"/>
  <c r="D10" i="14"/>
  <c r="E10" i="14"/>
  <c r="F10" i="14"/>
  <c r="G10" i="14"/>
  <c r="H10" i="14"/>
  <c r="I10" i="14"/>
  <c r="J10" i="14"/>
  <c r="K10" i="14"/>
  <c r="C11" i="14"/>
  <c r="D11" i="14"/>
  <c r="E11" i="14"/>
  <c r="F11" i="14"/>
  <c r="G11" i="14"/>
  <c r="H11" i="14"/>
  <c r="I11" i="14"/>
  <c r="J11" i="14"/>
  <c r="K11" i="14"/>
  <c r="C12" i="14"/>
  <c r="D12" i="14"/>
  <c r="E12" i="14"/>
  <c r="F12" i="14"/>
  <c r="G12" i="14"/>
  <c r="H12" i="14"/>
  <c r="I12" i="14"/>
  <c r="J12" i="14"/>
  <c r="K12" i="14"/>
  <c r="C13" i="14"/>
  <c r="D13" i="14"/>
  <c r="E13" i="14"/>
  <c r="F13" i="14"/>
  <c r="G13" i="14"/>
  <c r="H13" i="14"/>
  <c r="I13" i="14"/>
  <c r="J13" i="14"/>
  <c r="K13" i="14"/>
  <c r="C14" i="14"/>
  <c r="D14" i="14"/>
  <c r="E14" i="14"/>
  <c r="F14" i="14"/>
  <c r="G14" i="14"/>
  <c r="H14" i="14"/>
  <c r="I14" i="14"/>
  <c r="J14" i="14"/>
  <c r="K14" i="14"/>
  <c r="C15" i="14"/>
  <c r="D15" i="14"/>
  <c r="E15" i="14"/>
  <c r="F15" i="14"/>
  <c r="G15" i="14"/>
  <c r="H15" i="14"/>
  <c r="I15" i="14"/>
  <c r="J15" i="14"/>
  <c r="K15" i="14"/>
  <c r="C16" i="14"/>
  <c r="D16" i="14"/>
  <c r="E16" i="14"/>
  <c r="F16" i="14"/>
  <c r="G16" i="14"/>
  <c r="H16" i="14"/>
  <c r="I16" i="14"/>
  <c r="J16" i="14"/>
  <c r="K16" i="14"/>
  <c r="C17" i="14"/>
  <c r="D17" i="14"/>
  <c r="E17" i="14"/>
  <c r="F17" i="14"/>
  <c r="G17" i="14"/>
  <c r="H17" i="14"/>
  <c r="I17" i="14"/>
  <c r="J17" i="14"/>
  <c r="K17" i="14"/>
  <c r="C18" i="14"/>
  <c r="D18" i="14"/>
  <c r="E18" i="14"/>
  <c r="F18" i="14"/>
  <c r="G18" i="14"/>
  <c r="H18" i="14"/>
  <c r="I18" i="14"/>
  <c r="J18" i="14"/>
  <c r="K18" i="14"/>
  <c r="C19" i="14"/>
  <c r="D19" i="14"/>
  <c r="E19" i="14"/>
  <c r="F19" i="14"/>
  <c r="G19" i="14"/>
  <c r="H19" i="14"/>
  <c r="I19" i="14"/>
  <c r="J19" i="14"/>
  <c r="K19" i="14"/>
  <c r="D6" i="14"/>
  <c r="E6" i="14"/>
  <c r="F6" i="14"/>
  <c r="G6" i="14"/>
  <c r="H6" i="14"/>
  <c r="I6" i="14"/>
  <c r="J6" i="14"/>
  <c r="K6" i="14"/>
  <c r="C6" i="14"/>
  <c r="D5" i="14"/>
  <c r="E5" i="14"/>
  <c r="F5" i="14"/>
  <c r="G5" i="14"/>
  <c r="H5" i="14"/>
  <c r="I5" i="14"/>
  <c r="J5" i="14"/>
  <c r="K5" i="14"/>
  <c r="C5" i="14"/>
  <c r="D34" i="13"/>
  <c r="E34" i="13"/>
  <c r="F34" i="13"/>
  <c r="G34" i="13"/>
  <c r="H34" i="13"/>
  <c r="I34" i="13"/>
  <c r="J34" i="13"/>
  <c r="K34" i="13"/>
  <c r="L34" i="13"/>
  <c r="D35" i="13"/>
  <c r="E35" i="13"/>
  <c r="F35" i="13"/>
  <c r="G35" i="13"/>
  <c r="H35" i="13"/>
  <c r="I35" i="13"/>
  <c r="J35" i="13"/>
  <c r="K35" i="13"/>
  <c r="L35" i="13"/>
  <c r="C35" i="13"/>
  <c r="D33" i="13"/>
  <c r="E33" i="13"/>
  <c r="F33" i="13"/>
  <c r="G33" i="13"/>
  <c r="H33" i="13"/>
  <c r="I33" i="13"/>
  <c r="J33" i="13"/>
  <c r="K33" i="13"/>
  <c r="L33" i="13"/>
  <c r="C34" i="13"/>
  <c r="D32" i="13"/>
  <c r="E32" i="13"/>
  <c r="F32" i="13"/>
  <c r="G32" i="13"/>
  <c r="H32" i="13"/>
  <c r="I32" i="13"/>
  <c r="J32" i="13"/>
  <c r="K32" i="13"/>
  <c r="L32" i="13"/>
  <c r="C33" i="13"/>
  <c r="C32" i="13"/>
  <c r="C28" i="13"/>
  <c r="D28" i="13"/>
  <c r="E28" i="13"/>
  <c r="F28" i="13"/>
  <c r="G28" i="13"/>
  <c r="H28" i="13"/>
  <c r="I28" i="13"/>
  <c r="J28" i="13"/>
  <c r="K28" i="13"/>
  <c r="L28" i="13"/>
  <c r="C25" i="13"/>
  <c r="D25" i="13"/>
  <c r="E25" i="13"/>
  <c r="F25" i="13"/>
  <c r="G25" i="13"/>
  <c r="H25" i="13"/>
  <c r="I25" i="13"/>
  <c r="J25" i="13"/>
  <c r="K25" i="13"/>
  <c r="L25" i="13"/>
  <c r="C26" i="13"/>
  <c r="D26" i="13"/>
  <c r="E26" i="13"/>
  <c r="F26" i="13"/>
  <c r="G26" i="13"/>
  <c r="H26" i="13"/>
  <c r="I26" i="13"/>
  <c r="J26" i="13"/>
  <c r="K26" i="13"/>
  <c r="L26" i="13"/>
  <c r="C27" i="13"/>
  <c r="D27" i="13"/>
  <c r="E27" i="13"/>
  <c r="F27" i="13"/>
  <c r="G27" i="13"/>
  <c r="H27" i="13"/>
  <c r="I27" i="13"/>
  <c r="J27" i="13"/>
  <c r="K27" i="13"/>
  <c r="L27" i="13"/>
  <c r="D24" i="13"/>
  <c r="E24" i="13"/>
  <c r="F24" i="13"/>
  <c r="G24" i="13"/>
  <c r="H24" i="13"/>
  <c r="I24" i="13"/>
  <c r="J24" i="13"/>
  <c r="K24" i="13"/>
  <c r="L24" i="13"/>
  <c r="C24" i="13"/>
  <c r="D19" i="13"/>
  <c r="E19" i="13"/>
  <c r="F19" i="13"/>
  <c r="G19" i="13"/>
  <c r="H19" i="13"/>
  <c r="I19" i="13"/>
  <c r="J19" i="13"/>
  <c r="K19" i="13"/>
  <c r="L19" i="13"/>
  <c r="C19" i="13"/>
  <c r="C5" i="13"/>
  <c r="D5" i="13"/>
  <c r="E5" i="13"/>
  <c r="F5" i="13"/>
  <c r="G5" i="13"/>
  <c r="H5" i="13"/>
  <c r="I5" i="13"/>
  <c r="J5" i="13"/>
  <c r="K5" i="13"/>
  <c r="L5" i="13"/>
  <c r="D6" i="13"/>
  <c r="E6" i="13"/>
  <c r="F6" i="13"/>
  <c r="G6" i="13"/>
  <c r="H6" i="13"/>
  <c r="I6" i="13"/>
  <c r="J6" i="13"/>
  <c r="K6" i="13"/>
  <c r="L6" i="13"/>
  <c r="C7" i="13"/>
  <c r="D7" i="13"/>
  <c r="E7" i="13"/>
  <c r="F7" i="13"/>
  <c r="G7" i="13"/>
  <c r="H7" i="13"/>
  <c r="I7" i="13"/>
  <c r="J7" i="13"/>
  <c r="K7" i="13"/>
  <c r="L7" i="13"/>
  <c r="C8" i="13"/>
  <c r="D8" i="13"/>
  <c r="E8" i="13"/>
  <c r="F8" i="13"/>
  <c r="G8" i="13"/>
  <c r="H8" i="13"/>
  <c r="I8" i="13"/>
  <c r="J8" i="13"/>
  <c r="K8" i="13"/>
  <c r="L8" i="13"/>
  <c r="C9" i="13"/>
  <c r="D9" i="13"/>
  <c r="E9" i="13"/>
  <c r="F9" i="13"/>
  <c r="G9" i="13"/>
  <c r="H9" i="13"/>
  <c r="I9" i="13"/>
  <c r="J9" i="13"/>
  <c r="K9" i="13"/>
  <c r="L9" i="13"/>
  <c r="C10" i="13"/>
  <c r="D10" i="13"/>
  <c r="E10" i="13"/>
  <c r="F10" i="13"/>
  <c r="G10" i="13"/>
  <c r="H10" i="13"/>
  <c r="I10" i="13"/>
  <c r="J10" i="13"/>
  <c r="K10" i="13"/>
  <c r="L10" i="13"/>
  <c r="C11" i="13"/>
  <c r="D11" i="13"/>
  <c r="E11" i="13"/>
  <c r="F11" i="13"/>
  <c r="G11" i="13"/>
  <c r="H11" i="13"/>
  <c r="I11" i="13"/>
  <c r="J11" i="13"/>
  <c r="K11" i="13"/>
  <c r="L11" i="13"/>
  <c r="C12" i="13"/>
  <c r="D12" i="13"/>
  <c r="E12" i="13"/>
  <c r="F12" i="13"/>
  <c r="G12" i="13"/>
  <c r="H12" i="13"/>
  <c r="I12" i="13"/>
  <c r="J12" i="13"/>
  <c r="K12" i="13"/>
  <c r="L12" i="13"/>
  <c r="C13" i="13"/>
  <c r="D13" i="13"/>
  <c r="E13" i="13"/>
  <c r="F13" i="13"/>
  <c r="G13" i="13"/>
  <c r="H13" i="13"/>
  <c r="I13" i="13"/>
  <c r="J13" i="13"/>
  <c r="K13" i="13"/>
  <c r="L13" i="13"/>
  <c r="C14" i="13"/>
  <c r="D14" i="13"/>
  <c r="E14" i="13"/>
  <c r="F14" i="13"/>
  <c r="G14" i="13"/>
  <c r="H14" i="13"/>
  <c r="I14" i="13"/>
  <c r="J14" i="13"/>
  <c r="K14" i="13"/>
  <c r="L14" i="13"/>
  <c r="C15" i="13"/>
  <c r="D15" i="13"/>
  <c r="E15" i="13"/>
  <c r="F15" i="13"/>
  <c r="G15" i="13"/>
  <c r="H15" i="13"/>
  <c r="I15" i="13"/>
  <c r="J15" i="13"/>
  <c r="K15" i="13"/>
  <c r="L15" i="13"/>
  <c r="C16" i="13"/>
  <c r="D16" i="13"/>
  <c r="E16" i="13"/>
  <c r="F16" i="13"/>
  <c r="G16" i="13"/>
  <c r="H16" i="13"/>
  <c r="I16" i="13"/>
  <c r="J16" i="13"/>
  <c r="K16" i="13"/>
  <c r="L16" i="13"/>
  <c r="C17" i="13"/>
  <c r="D17" i="13"/>
  <c r="E17" i="13"/>
  <c r="F17" i="13"/>
  <c r="G17" i="13"/>
  <c r="H17" i="13"/>
  <c r="I17" i="13"/>
  <c r="J17" i="13"/>
  <c r="K17" i="13"/>
  <c r="L17" i="13"/>
  <c r="C18" i="13"/>
  <c r="D18" i="13"/>
  <c r="E18" i="13"/>
  <c r="F18" i="13"/>
  <c r="G18" i="13"/>
  <c r="H18" i="13"/>
  <c r="I18" i="13"/>
  <c r="J18" i="13"/>
  <c r="K18" i="13"/>
  <c r="L18" i="13"/>
  <c r="D4" i="13"/>
  <c r="E4" i="13"/>
  <c r="F4" i="13"/>
  <c r="G4" i="13"/>
  <c r="H4" i="13"/>
  <c r="I4" i="13"/>
  <c r="J4" i="13"/>
  <c r="K4" i="13"/>
  <c r="L4" i="13"/>
  <c r="C4" i="13"/>
  <c r="C48" i="16" l="1"/>
  <c r="C57" i="16" s="1"/>
  <c r="C46" i="16"/>
  <c r="C58" i="16" s="1"/>
  <c r="C40" i="16"/>
  <c r="L17" i="12"/>
  <c r="K17" i="12"/>
  <c r="J17" i="12"/>
  <c r="I17" i="12"/>
  <c r="H17" i="12"/>
  <c r="G17" i="12"/>
  <c r="F17" i="12"/>
  <c r="E17" i="12"/>
  <c r="D17" i="12"/>
  <c r="L16" i="12"/>
  <c r="D8" i="19" s="1"/>
  <c r="K16" i="12"/>
  <c r="C8" i="19" s="1"/>
  <c r="J16" i="12"/>
  <c r="I16" i="12"/>
  <c r="H16" i="12"/>
  <c r="G16" i="12"/>
  <c r="F16" i="12"/>
  <c r="E16" i="12"/>
  <c r="D16" i="12"/>
  <c r="L15" i="12"/>
  <c r="K15" i="12"/>
  <c r="J15" i="12"/>
  <c r="I15" i="12"/>
  <c r="H15" i="12"/>
  <c r="G15" i="12"/>
  <c r="F15" i="12"/>
  <c r="E15" i="12"/>
  <c r="D15" i="12"/>
  <c r="C17" i="12"/>
  <c r="C16" i="12"/>
  <c r="C15" i="12"/>
  <c r="L14" i="12"/>
  <c r="K14" i="12"/>
  <c r="J14" i="12"/>
  <c r="I14" i="12"/>
  <c r="H14" i="12"/>
  <c r="G14" i="12"/>
  <c r="F14" i="12"/>
  <c r="E14" i="12"/>
  <c r="D14" i="12"/>
  <c r="C14" i="12"/>
  <c r="L13" i="12"/>
  <c r="K13" i="12"/>
  <c r="J13" i="12"/>
  <c r="I13" i="12"/>
  <c r="H13" i="12"/>
  <c r="G13" i="12"/>
  <c r="F13" i="12"/>
  <c r="E13" i="12"/>
  <c r="D13" i="12"/>
  <c r="C13" i="12"/>
  <c r="D12" i="12"/>
  <c r="E12" i="12"/>
  <c r="F12" i="12"/>
  <c r="G12" i="12"/>
  <c r="H12" i="12"/>
  <c r="I12" i="12"/>
  <c r="J12" i="12"/>
  <c r="K12" i="12"/>
  <c r="L12" i="12"/>
  <c r="C12" i="12"/>
  <c r="D11" i="12"/>
  <c r="E11" i="12"/>
  <c r="F11" i="12"/>
  <c r="G11" i="12"/>
  <c r="H11" i="12"/>
  <c r="I11" i="12"/>
  <c r="J11" i="12"/>
  <c r="K11" i="12"/>
  <c r="L11" i="12"/>
  <c r="C11" i="12"/>
  <c r="D10" i="12"/>
  <c r="E10" i="12"/>
  <c r="F10" i="12"/>
  <c r="G10" i="12"/>
  <c r="H10" i="12"/>
  <c r="I10" i="12"/>
  <c r="J10" i="12"/>
  <c r="K10" i="12"/>
  <c r="L10" i="12"/>
  <c r="C10" i="12"/>
  <c r="D9" i="12"/>
  <c r="E9" i="12"/>
  <c r="F9" i="12"/>
  <c r="G9" i="12"/>
  <c r="H9" i="12"/>
  <c r="I9" i="12"/>
  <c r="J9" i="12"/>
  <c r="K9" i="12"/>
  <c r="L9" i="12"/>
  <c r="C9" i="12"/>
  <c r="D8" i="12"/>
  <c r="E8" i="12"/>
  <c r="F8" i="12"/>
  <c r="E28" i="12" s="1"/>
  <c r="G8" i="12"/>
  <c r="H8" i="12"/>
  <c r="I8" i="12"/>
  <c r="J8" i="12"/>
  <c r="K8" i="12"/>
  <c r="L8" i="12"/>
  <c r="C8" i="12"/>
  <c r="D7" i="12"/>
  <c r="E7" i="12"/>
  <c r="F7" i="12"/>
  <c r="G7" i="12"/>
  <c r="H7" i="12"/>
  <c r="I7" i="12"/>
  <c r="J7" i="12"/>
  <c r="K7" i="12"/>
  <c r="L7" i="12"/>
  <c r="C7" i="12"/>
  <c r="D6" i="12"/>
  <c r="E6" i="12"/>
  <c r="F6" i="12"/>
  <c r="G6" i="12"/>
  <c r="H6" i="12"/>
  <c r="I6" i="12"/>
  <c r="J6" i="12"/>
  <c r="K6" i="12"/>
  <c r="L6" i="12"/>
  <c r="C6" i="12"/>
  <c r="E5" i="12"/>
  <c r="F5" i="12"/>
  <c r="G5" i="12"/>
  <c r="H5" i="12"/>
  <c r="G26" i="12" s="1"/>
  <c r="I5" i="12"/>
  <c r="H24" i="12" s="1"/>
  <c r="J5" i="12"/>
  <c r="K5" i="12"/>
  <c r="C7" i="19" s="1"/>
  <c r="L5" i="12"/>
  <c r="D7" i="19" s="1"/>
  <c r="E7" i="19" s="1"/>
  <c r="D5" i="12"/>
  <c r="C5" i="12"/>
  <c r="K23" i="12"/>
  <c r="J23" i="12"/>
  <c r="I23" i="12"/>
  <c r="H23" i="12"/>
  <c r="G23" i="12"/>
  <c r="F23" i="12"/>
  <c r="E23" i="12"/>
  <c r="D23" i="12"/>
  <c r="C23" i="12"/>
  <c r="G25" i="12"/>
  <c r="D30" i="11"/>
  <c r="E30" i="11"/>
  <c r="F30" i="11"/>
  <c r="G30" i="11"/>
  <c r="H30" i="11"/>
  <c r="I30" i="11"/>
  <c r="J30" i="11"/>
  <c r="K30" i="11"/>
  <c r="L30" i="11"/>
  <c r="C30" i="11"/>
  <c r="D29" i="11"/>
  <c r="E29" i="11"/>
  <c r="F29" i="11"/>
  <c r="G29" i="11"/>
  <c r="H29" i="11"/>
  <c r="I29" i="11"/>
  <c r="J29" i="11"/>
  <c r="K29" i="11"/>
  <c r="C22" i="19" s="1"/>
  <c r="L29" i="11"/>
  <c r="D22" i="19" s="1"/>
  <c r="C29" i="11"/>
  <c r="I28" i="11"/>
  <c r="C167" i="28" s="1" a="1"/>
  <c r="C167" i="28" s="1"/>
  <c r="J28" i="11"/>
  <c r="C168" i="28" s="1" a="1"/>
  <c r="C168" i="28" s="1"/>
  <c r="K28" i="11"/>
  <c r="C169" i="28" s="1" a="1"/>
  <c r="C169" i="28" s="1"/>
  <c r="L28" i="11"/>
  <c r="D28" i="11"/>
  <c r="C162" i="28" s="1" a="1"/>
  <c r="C162" i="28" s="1"/>
  <c r="E28" i="11"/>
  <c r="C163" i="28" s="1" a="1"/>
  <c r="C163" i="28" s="1"/>
  <c r="F28" i="11"/>
  <c r="C164" i="28" s="1" a="1"/>
  <c r="C164" i="28" s="1"/>
  <c r="G28" i="11"/>
  <c r="C165" i="28" s="1" a="1"/>
  <c r="C165" i="28" s="1"/>
  <c r="H28" i="11"/>
  <c r="C166" i="28" s="1" a="1"/>
  <c r="C166" i="28" s="1"/>
  <c r="C28" i="11"/>
  <c r="C161" i="28" s="1" a="1"/>
  <c r="C161" i="28" s="1"/>
  <c r="D27" i="11"/>
  <c r="B162" i="28" s="1" a="1"/>
  <c r="B162" i="28" s="1"/>
  <c r="E27" i="11"/>
  <c r="B163" i="28" s="1" a="1"/>
  <c r="B163" i="28" s="1"/>
  <c r="F27" i="11"/>
  <c r="B164" i="28" s="1" a="1"/>
  <c r="B164" i="28" s="1"/>
  <c r="G27" i="11"/>
  <c r="B165" i="28" s="1" a="1"/>
  <c r="B165" i="28" s="1"/>
  <c r="H27" i="11"/>
  <c r="B166" i="28" s="1" a="1"/>
  <c r="B166" i="28" s="1"/>
  <c r="I27" i="11"/>
  <c r="B167" i="28" s="1" a="1"/>
  <c r="B167" i="28" s="1"/>
  <c r="J27" i="11"/>
  <c r="B168" i="28" s="1" a="1"/>
  <c r="B168" i="28" s="1"/>
  <c r="K27" i="11"/>
  <c r="B169" i="28" s="1" a="1"/>
  <c r="B169" i="28" s="1"/>
  <c r="L27" i="11"/>
  <c r="B170" i="28" s="1" a="1"/>
  <c r="B170" i="28" s="1"/>
  <c r="C27" i="11"/>
  <c r="B161" i="28" s="1" a="1"/>
  <c r="B161" i="28" s="1"/>
  <c r="D24" i="11"/>
  <c r="E24" i="11"/>
  <c r="F24" i="11"/>
  <c r="G24" i="11"/>
  <c r="H24" i="11"/>
  <c r="I24" i="11"/>
  <c r="J24" i="11"/>
  <c r="K24" i="11"/>
  <c r="L24" i="11"/>
  <c r="C24" i="11"/>
  <c r="F23" i="11"/>
  <c r="G23" i="11"/>
  <c r="H23" i="11"/>
  <c r="I23" i="11"/>
  <c r="J23" i="11"/>
  <c r="K23" i="11"/>
  <c r="C21" i="19" s="1"/>
  <c r="L23" i="11"/>
  <c r="D21" i="19" s="1"/>
  <c r="D23" i="11"/>
  <c r="E23" i="11"/>
  <c r="C23" i="11"/>
  <c r="E22" i="11"/>
  <c r="B151" i="28" s="1" a="1"/>
  <c r="B151" i="28" s="1"/>
  <c r="F22" i="11"/>
  <c r="B152" i="28" s="1" a="1"/>
  <c r="B152" i="28" s="1"/>
  <c r="G22" i="11"/>
  <c r="B153" i="28" s="1" a="1"/>
  <c r="B153" i="28" s="1"/>
  <c r="H22" i="11"/>
  <c r="B154" i="28" s="1" a="1"/>
  <c r="B154" i="28" s="1"/>
  <c r="I22" i="11"/>
  <c r="B155" i="28" s="1" a="1"/>
  <c r="B155" i="28" s="1"/>
  <c r="J22" i="11"/>
  <c r="B156" i="28" s="1" a="1"/>
  <c r="B156" i="28" s="1"/>
  <c r="K22" i="11"/>
  <c r="L22" i="11"/>
  <c r="D22" i="11"/>
  <c r="B150" i="28" s="1" a="1"/>
  <c r="B150" i="28" s="1"/>
  <c r="C22" i="11"/>
  <c r="B149" i="28" s="1" a="1"/>
  <c r="B149" i="28" s="1"/>
  <c r="L19" i="11"/>
  <c r="K19" i="11"/>
  <c r="J19" i="11"/>
  <c r="I19" i="11"/>
  <c r="H19" i="11"/>
  <c r="G19" i="11"/>
  <c r="F19" i="11"/>
  <c r="E19" i="11"/>
  <c r="D19" i="11"/>
  <c r="C19" i="11"/>
  <c r="E17" i="11"/>
  <c r="F17" i="11"/>
  <c r="G17" i="11"/>
  <c r="H17" i="11"/>
  <c r="I17" i="11"/>
  <c r="J17" i="11"/>
  <c r="K17" i="11"/>
  <c r="C19" i="19" s="1"/>
  <c r="L17" i="11"/>
  <c r="D19" i="19" s="1"/>
  <c r="D17" i="11"/>
  <c r="C17" i="11"/>
  <c r="E16" i="11"/>
  <c r="F16" i="11"/>
  <c r="G16" i="11"/>
  <c r="H16" i="11"/>
  <c r="I16" i="11"/>
  <c r="J16" i="11"/>
  <c r="K16" i="11"/>
  <c r="C18" i="19" s="1"/>
  <c r="L16" i="11"/>
  <c r="D18" i="19" s="1"/>
  <c r="D16" i="11"/>
  <c r="C16" i="11"/>
  <c r="E13" i="11"/>
  <c r="D127" i="28" s="1" a="1"/>
  <c r="D127" i="28" s="1"/>
  <c r="F13" i="11"/>
  <c r="D128" i="28" s="1" a="1"/>
  <c r="D128" i="28" s="1"/>
  <c r="G13" i="11"/>
  <c r="D129" i="28" s="1" a="1"/>
  <c r="D129" i="28" s="1"/>
  <c r="H13" i="11"/>
  <c r="D130" i="28" s="1" a="1"/>
  <c r="D130" i="28" s="1"/>
  <c r="I13" i="11"/>
  <c r="D131" i="28" s="1" a="1"/>
  <c r="D131" i="28" s="1"/>
  <c r="J13" i="11"/>
  <c r="D132" i="28" s="1" a="1"/>
  <c r="D132" i="28" s="1"/>
  <c r="K13" i="11"/>
  <c r="L13" i="11"/>
  <c r="D13" i="11"/>
  <c r="D126" i="28" s="1" a="1"/>
  <c r="D126" i="28" s="1"/>
  <c r="C13" i="11"/>
  <c r="D125" i="28" s="1" a="1"/>
  <c r="D125" i="28" s="1"/>
  <c r="E12" i="11"/>
  <c r="C127" i="28" s="1" a="1"/>
  <c r="C127" i="28" s="1"/>
  <c r="F12" i="11"/>
  <c r="C128" i="28" s="1" a="1"/>
  <c r="C128" i="28" s="1"/>
  <c r="G12" i="11"/>
  <c r="C129" i="28" s="1" a="1"/>
  <c r="C129" i="28" s="1"/>
  <c r="H12" i="11"/>
  <c r="C130" i="28" s="1" a="1"/>
  <c r="C130" i="28" s="1"/>
  <c r="I12" i="11"/>
  <c r="C131" i="28" s="1" a="1"/>
  <c r="C131" i="28" s="1"/>
  <c r="J12" i="11"/>
  <c r="C132" i="28" s="1" a="1"/>
  <c r="C132" i="28" s="1"/>
  <c r="K12" i="11"/>
  <c r="L12" i="11"/>
  <c r="D12" i="11"/>
  <c r="C126" i="28" s="1" a="1"/>
  <c r="C126" i="28" s="1"/>
  <c r="C12" i="11"/>
  <c r="C125" i="28" s="1" a="1"/>
  <c r="C125" i="28" s="1"/>
  <c r="E11" i="11"/>
  <c r="B127" i="28" s="1" a="1"/>
  <c r="B127" i="28" s="1"/>
  <c r="F11" i="11"/>
  <c r="B128" i="28" s="1" a="1"/>
  <c r="B128" i="28" s="1"/>
  <c r="G11" i="11"/>
  <c r="B129" i="28" s="1" a="1"/>
  <c r="B129" i="28" s="1"/>
  <c r="H11" i="11"/>
  <c r="B130" i="28" s="1" a="1"/>
  <c r="B130" i="28" s="1"/>
  <c r="I11" i="11"/>
  <c r="B131" i="28" s="1" a="1"/>
  <c r="B131" i="28" s="1"/>
  <c r="J11" i="11"/>
  <c r="B132" i="28" s="1" a="1"/>
  <c r="B132" i="28" s="1"/>
  <c r="K11" i="11"/>
  <c r="B133" i="28" s="1" a="1"/>
  <c r="B133" i="28" s="1"/>
  <c r="L11" i="11"/>
  <c r="B134" i="28" s="1" a="1"/>
  <c r="B134" i="28" s="1"/>
  <c r="D11" i="11"/>
  <c r="B126" i="28" s="1" a="1"/>
  <c r="B126" i="28" s="1"/>
  <c r="C11" i="11"/>
  <c r="B125" i="28" s="1" a="1"/>
  <c r="B125" i="28" s="1"/>
  <c r="E10" i="11"/>
  <c r="C115" i="28" s="1" a="1"/>
  <c r="C115" i="28" s="1"/>
  <c r="F10" i="11"/>
  <c r="C116" i="28" s="1" a="1"/>
  <c r="C116" i="28" s="1"/>
  <c r="G10" i="11"/>
  <c r="C117" i="28" s="1" a="1"/>
  <c r="C117" i="28" s="1"/>
  <c r="H10" i="11"/>
  <c r="C118" i="28" s="1" a="1"/>
  <c r="C118" i="28" s="1"/>
  <c r="I10" i="11"/>
  <c r="C119" i="28" s="1" a="1"/>
  <c r="C119" i="28" s="1"/>
  <c r="J10" i="11"/>
  <c r="C120" i="28" s="1" a="1"/>
  <c r="C120" i="28" s="1"/>
  <c r="K10" i="11"/>
  <c r="L10" i="11"/>
  <c r="D10" i="11"/>
  <c r="C114" i="28" s="1" a="1"/>
  <c r="C114" i="28" s="1"/>
  <c r="C10" i="11"/>
  <c r="C113" i="28" s="1" a="1"/>
  <c r="C113" i="28" s="1"/>
  <c r="F9" i="11"/>
  <c r="B116" i="28" s="1" a="1"/>
  <c r="B116" i="28" s="1"/>
  <c r="G9" i="11"/>
  <c r="B117" i="28" s="1" a="1"/>
  <c r="B117" i="28" s="1"/>
  <c r="H9" i="11"/>
  <c r="B118" i="28" s="1" a="1"/>
  <c r="B118" i="28" s="1"/>
  <c r="I9" i="11"/>
  <c r="B119" i="28" s="1" a="1"/>
  <c r="B119" i="28" s="1"/>
  <c r="J9" i="11"/>
  <c r="B120" i="28" s="1" a="1"/>
  <c r="B120" i="28" s="1"/>
  <c r="K9" i="11"/>
  <c r="L9" i="11"/>
  <c r="E9" i="11"/>
  <c r="B115" i="28" s="1" a="1"/>
  <c r="B115" i="28" s="1"/>
  <c r="D9" i="11"/>
  <c r="B114" i="28" s="1" a="1"/>
  <c r="B114" i="28" s="1"/>
  <c r="C9" i="11"/>
  <c r="B113" i="28" s="1" a="1"/>
  <c r="B113" i="28" s="1"/>
  <c r="D8" i="11"/>
  <c r="E8" i="11"/>
  <c r="F8" i="11"/>
  <c r="G8" i="11"/>
  <c r="H8" i="11"/>
  <c r="I8" i="11"/>
  <c r="J8" i="11"/>
  <c r="K8" i="11"/>
  <c r="L8" i="11"/>
  <c r="C8" i="11"/>
  <c r="D5" i="11"/>
  <c r="C138" i="28" s="1" a="1"/>
  <c r="C138" i="28" s="1"/>
  <c r="E5" i="11"/>
  <c r="C139" i="28" s="1" a="1"/>
  <c r="C139" i="28" s="1"/>
  <c r="F5" i="11"/>
  <c r="C140" i="28" s="1" a="1"/>
  <c r="C140" i="28" s="1"/>
  <c r="G5" i="11"/>
  <c r="C141" i="28" s="1" a="1"/>
  <c r="C141" i="28" s="1"/>
  <c r="H5" i="11"/>
  <c r="C142" i="28" s="1" a="1"/>
  <c r="C142" i="28" s="1"/>
  <c r="I5" i="11"/>
  <c r="C143" i="28" s="1" a="1"/>
  <c r="C143" i="28" s="1"/>
  <c r="J5" i="11"/>
  <c r="C144" i="28" s="1" a="1"/>
  <c r="C144" i="28" s="1"/>
  <c r="K5" i="11"/>
  <c r="L5" i="11"/>
  <c r="C5" i="11"/>
  <c r="C137" i="28" s="1" a="1"/>
  <c r="C137" i="28" s="1"/>
  <c r="D4" i="11"/>
  <c r="B138" i="28" s="1" a="1"/>
  <c r="B138" i="28" s="1"/>
  <c r="E4" i="11"/>
  <c r="B139" i="28" s="1" a="1"/>
  <c r="B139" i="28" s="1"/>
  <c r="F4" i="11"/>
  <c r="B140" i="28" s="1" a="1"/>
  <c r="B140" i="28" s="1"/>
  <c r="G4" i="11"/>
  <c r="B141" i="28" s="1" a="1"/>
  <c r="B141" i="28" s="1"/>
  <c r="H4" i="11"/>
  <c r="B142" i="28" s="1" a="1"/>
  <c r="B142" i="28" s="1"/>
  <c r="I4" i="11"/>
  <c r="B143" i="28" s="1" a="1"/>
  <c r="B143" i="28" s="1"/>
  <c r="J4" i="11"/>
  <c r="B144" i="28" s="1" a="1"/>
  <c r="B144" i="28" s="1"/>
  <c r="K4" i="11"/>
  <c r="L4" i="11"/>
  <c r="C4" i="11"/>
  <c r="B137" i="28" s="1" a="1"/>
  <c r="B137" i="28" s="1"/>
  <c r="P11" i="9"/>
  <c r="P10" i="9"/>
  <c r="P9" i="9"/>
  <c r="P8" i="9"/>
  <c r="P7" i="9"/>
  <c r="N11" i="9"/>
  <c r="N10" i="9"/>
  <c r="N9" i="9"/>
  <c r="N8" i="9"/>
  <c r="N7" i="9"/>
  <c r="L11" i="9"/>
  <c r="L10" i="9"/>
  <c r="L9" i="9"/>
  <c r="L8" i="9"/>
  <c r="L7" i="9"/>
  <c r="J11" i="9"/>
  <c r="J10" i="9"/>
  <c r="J9" i="9"/>
  <c r="J8" i="9"/>
  <c r="J7" i="9"/>
  <c r="G11" i="9"/>
  <c r="G10" i="9"/>
  <c r="G9" i="9"/>
  <c r="G8" i="9"/>
  <c r="G7" i="9"/>
  <c r="E11" i="9"/>
  <c r="E10" i="9"/>
  <c r="E9" i="9"/>
  <c r="E8" i="9"/>
  <c r="E7" i="9"/>
  <c r="D11" i="9"/>
  <c r="D10" i="9"/>
  <c r="D9" i="9"/>
  <c r="D8" i="9"/>
  <c r="D7" i="9"/>
  <c r="Y20" i="9"/>
  <c r="U20" i="9"/>
  <c r="S20" i="9"/>
  <c r="D29" i="8"/>
  <c r="E29" i="8"/>
  <c r="F29" i="8"/>
  <c r="G29" i="8"/>
  <c r="H29" i="8"/>
  <c r="I29" i="8"/>
  <c r="C29" i="8"/>
  <c r="D23" i="8"/>
  <c r="E23" i="8"/>
  <c r="F23" i="8"/>
  <c r="G23" i="8"/>
  <c r="H23" i="8"/>
  <c r="I23" i="8"/>
  <c r="C23" i="8"/>
  <c r="D17" i="8"/>
  <c r="E17" i="8"/>
  <c r="F17" i="8"/>
  <c r="G17" i="8"/>
  <c r="H17" i="8"/>
  <c r="I17" i="8"/>
  <c r="C17" i="8"/>
  <c r="I12" i="8"/>
  <c r="F12" i="8"/>
  <c r="D11" i="8"/>
  <c r="E11" i="8"/>
  <c r="F11" i="8"/>
  <c r="G11" i="8"/>
  <c r="H11" i="8"/>
  <c r="I11" i="8"/>
  <c r="C11" i="8"/>
  <c r="I6" i="8"/>
  <c r="I18" i="8" s="1"/>
  <c r="H6" i="8"/>
  <c r="H18" i="8" s="1"/>
  <c r="G6" i="8"/>
  <c r="G12" i="8" s="1"/>
  <c r="G24" i="8" s="1"/>
  <c r="F6" i="8"/>
  <c r="F18" i="8" s="1"/>
  <c r="E6" i="8"/>
  <c r="E12" i="8" s="1"/>
  <c r="D6" i="8"/>
  <c r="D12" i="8" s="1"/>
  <c r="C6" i="8"/>
  <c r="C12" i="8" s="1"/>
  <c r="D5" i="8"/>
  <c r="E5" i="8"/>
  <c r="F5" i="8"/>
  <c r="G5" i="8"/>
  <c r="H5" i="8"/>
  <c r="I5" i="8"/>
  <c r="C5" i="8"/>
  <c r="D4" i="8"/>
  <c r="D16" i="8" s="1"/>
  <c r="E4" i="8"/>
  <c r="E28" i="8" s="1"/>
  <c r="F4" i="8"/>
  <c r="F16" i="8" s="1"/>
  <c r="G4" i="8"/>
  <c r="G28" i="8" s="1"/>
  <c r="H4" i="8"/>
  <c r="H16" i="8" s="1"/>
  <c r="I4" i="8"/>
  <c r="I10" i="8" s="1"/>
  <c r="I22" i="8" s="1"/>
  <c r="C4" i="8"/>
  <c r="C16" i="8" s="1"/>
  <c r="B25" i="8"/>
  <c r="B19" i="8"/>
  <c r="B13" i="8"/>
  <c r="B7" i="8"/>
  <c r="C25" i="12" l="1"/>
  <c r="F10" i="8"/>
  <c r="F22" i="8" s="1"/>
  <c r="D26" i="12"/>
  <c r="D20" i="19"/>
  <c r="N9" i="28"/>
  <c r="B158" i="28" a="1"/>
  <c r="B158" i="28" s="1"/>
  <c r="F22" i="12"/>
  <c r="C11" i="19"/>
  <c r="C133" i="28" a="1"/>
  <c r="C133" i="28" s="1"/>
  <c r="C28" i="12"/>
  <c r="G25" i="8"/>
  <c r="Y25" i="9"/>
  <c r="T25" i="9"/>
  <c r="V25" i="9"/>
  <c r="Z25" i="9"/>
  <c r="X25" i="9"/>
  <c r="J25" i="12"/>
  <c r="E27" i="12"/>
  <c r="C21" i="12"/>
  <c r="C18" i="8"/>
  <c r="C19" i="8" s="1"/>
  <c r="D10" i="19"/>
  <c r="J6" i="28"/>
  <c r="C122" i="28" a="1"/>
  <c r="C122" i="28" s="1"/>
  <c r="D28" i="12"/>
  <c r="C7" i="8"/>
  <c r="C10" i="19"/>
  <c r="C121" i="28" a="1"/>
  <c r="C121" i="28" s="1"/>
  <c r="D27" i="12"/>
  <c r="I7" i="8"/>
  <c r="D9" i="19"/>
  <c r="B122" i="28" a="1"/>
  <c r="B122" i="28" s="1"/>
  <c r="C22" i="12"/>
  <c r="C20" i="19"/>
  <c r="B157" i="28" a="1"/>
  <c r="B157" i="28" s="1"/>
  <c r="G18" i="8"/>
  <c r="G19" i="8" s="1"/>
  <c r="G7" i="8"/>
  <c r="C9" i="19"/>
  <c r="B121" i="28" a="1"/>
  <c r="B121" i="28" s="1"/>
  <c r="C16" i="19"/>
  <c r="B145" i="28" a="1"/>
  <c r="B145" i="28" s="1"/>
  <c r="D11" i="19"/>
  <c r="N6" i="28"/>
  <c r="C134" i="28" a="1"/>
  <c r="C134" i="28" s="1"/>
  <c r="D18" i="8"/>
  <c r="D19" i="8" s="1"/>
  <c r="C17" i="19"/>
  <c r="C145" i="28" a="1"/>
  <c r="C145" i="28" s="1"/>
  <c r="D12" i="19"/>
  <c r="D134" i="28" a="1"/>
  <c r="D134" i="28" s="1"/>
  <c r="C170" i="28" a="1"/>
  <c r="C170" i="28" s="1"/>
  <c r="F9" i="28"/>
  <c r="U23" i="9"/>
  <c r="V23" i="9"/>
  <c r="Z23" i="9"/>
  <c r="X23" i="9"/>
  <c r="T23" i="9"/>
  <c r="D17" i="19"/>
  <c r="C146" i="28" a="1"/>
  <c r="C146" i="28" s="1"/>
  <c r="D16" i="19"/>
  <c r="B146" i="28" a="1"/>
  <c r="B146" i="28" s="1"/>
  <c r="J9" i="28"/>
  <c r="C12" i="19"/>
  <c r="D133" i="28" a="1"/>
  <c r="D133" i="28" s="1"/>
  <c r="D13" i="8"/>
  <c r="D24" i="8"/>
  <c r="D25" i="8" s="1"/>
  <c r="J24" i="12"/>
  <c r="C27" i="12"/>
  <c r="F34" i="8"/>
  <c r="F28" i="8"/>
  <c r="I16" i="8"/>
  <c r="I25" i="12"/>
  <c r="H7" i="8"/>
  <c r="H12" i="8"/>
  <c r="H24" i="8" s="1"/>
  <c r="H25" i="8" s="1"/>
  <c r="F8" i="9"/>
  <c r="F9" i="9"/>
  <c r="F10" i="9"/>
  <c r="H10" i="9" s="1"/>
  <c r="B195" i="28" s="1" a="1"/>
  <c r="B195" i="28" s="1"/>
  <c r="Y23" i="9"/>
  <c r="S23" i="9"/>
  <c r="W23" i="9"/>
  <c r="W25" i="9"/>
  <c r="C41" i="16"/>
  <c r="C42" i="16" s="1"/>
  <c r="C55" i="16" s="1"/>
  <c r="C59" i="16" s="1"/>
  <c r="C185" i="28" s="1" a="1"/>
  <c r="C185" i="28" s="1"/>
  <c r="D49" i="16"/>
  <c r="D56" i="16" s="1"/>
  <c r="D46" i="16"/>
  <c r="D47" i="16" s="1"/>
  <c r="D58" i="16" s="1"/>
  <c r="D48" i="16"/>
  <c r="D57" i="16" s="1"/>
  <c r="D40" i="16"/>
  <c r="E39" i="16"/>
  <c r="B187" i="28" s="1" a="1"/>
  <c r="B187" i="28" s="1"/>
  <c r="C51" i="16"/>
  <c r="D50" i="16" s="1"/>
  <c r="C24" i="8"/>
  <c r="C25" i="8" s="1"/>
  <c r="K25" i="12"/>
  <c r="G28" i="12"/>
  <c r="H28" i="12"/>
  <c r="J28" i="12"/>
  <c r="G22" i="12"/>
  <c r="H21" i="12"/>
  <c r="I21" i="12"/>
  <c r="K24" i="12"/>
  <c r="E26" i="12"/>
  <c r="K28" i="12"/>
  <c r="F26" i="12"/>
  <c r="H25" i="12"/>
  <c r="D21" i="12"/>
  <c r="H26" i="12"/>
  <c r="K22" i="12"/>
  <c r="C24" i="12"/>
  <c r="I26" i="12"/>
  <c r="E22" i="12"/>
  <c r="F21" i="12"/>
  <c r="I22" i="12"/>
  <c r="F27" i="12"/>
  <c r="H27" i="12"/>
  <c r="J26" i="12"/>
  <c r="E21" i="12"/>
  <c r="G27" i="12"/>
  <c r="I27" i="12"/>
  <c r="F24" i="12"/>
  <c r="J27" i="12"/>
  <c r="F28" i="12"/>
  <c r="H22" i="12"/>
  <c r="J21" i="12"/>
  <c r="K27" i="12"/>
  <c r="D25" i="12"/>
  <c r="J22" i="12"/>
  <c r="E25" i="12"/>
  <c r="I24" i="12"/>
  <c r="K21" i="12"/>
  <c r="C26" i="12"/>
  <c r="F25" i="12"/>
  <c r="I28" i="12"/>
  <c r="K26" i="12"/>
  <c r="G24" i="12"/>
  <c r="G21" i="12"/>
  <c r="D24" i="12"/>
  <c r="E24" i="12"/>
  <c r="D22" i="12"/>
  <c r="F7" i="9"/>
  <c r="F11" i="9"/>
  <c r="S25" i="9"/>
  <c r="U25" i="9"/>
  <c r="I24" i="8"/>
  <c r="I25" i="8" s="1"/>
  <c r="D7" i="8"/>
  <c r="E7" i="8"/>
  <c r="F7" i="8"/>
  <c r="H19" i="8"/>
  <c r="I19" i="8"/>
  <c r="C13" i="8"/>
  <c r="E10" i="8"/>
  <c r="E22" i="8" s="1"/>
  <c r="D34" i="8"/>
  <c r="E34" i="8"/>
  <c r="D10" i="8"/>
  <c r="D22" i="8" s="1"/>
  <c r="E16" i="8"/>
  <c r="D28" i="8"/>
  <c r="C28" i="8"/>
  <c r="C10" i="8"/>
  <c r="C22" i="8" s="1"/>
  <c r="C34" i="8"/>
  <c r="E24" i="8"/>
  <c r="E25" i="8" s="1"/>
  <c r="E13" i="8"/>
  <c r="G13" i="8"/>
  <c r="H13" i="8"/>
  <c r="I13" i="8"/>
  <c r="F19" i="8"/>
  <c r="G34" i="8"/>
  <c r="H10" i="8"/>
  <c r="H22" i="8" s="1"/>
  <c r="G16" i="8"/>
  <c r="E18" i="8"/>
  <c r="E19" i="8" s="1"/>
  <c r="I28" i="8"/>
  <c r="H34" i="8"/>
  <c r="I34" i="8"/>
  <c r="G10" i="8"/>
  <c r="G22" i="8" s="1"/>
  <c r="H28" i="8"/>
  <c r="E10" i="21" l="1"/>
  <c r="G10" i="21" s="1"/>
  <c r="J10" i="21" s="1"/>
  <c r="Z9" i="9"/>
  <c r="Y9" i="9"/>
  <c r="Z11" i="9"/>
  <c r="Y11" i="9"/>
  <c r="E8" i="21"/>
  <c r="G8" i="21" s="1"/>
  <c r="Y7" i="9"/>
  <c r="Z7" i="9"/>
  <c r="H8" i="9"/>
  <c r="B193" i="28" s="1" a="1"/>
  <c r="B193" i="28" s="1"/>
  <c r="Z8" i="9"/>
  <c r="Y8" i="9"/>
  <c r="X10" i="9"/>
  <c r="W10" i="9"/>
  <c r="T10" i="9"/>
  <c r="S10" i="9"/>
  <c r="V10" i="9"/>
  <c r="U10" i="9"/>
  <c r="E11" i="21"/>
  <c r="G11" i="21" s="1"/>
  <c r="J11" i="21" s="1"/>
  <c r="Z10" i="9"/>
  <c r="Y10" i="9"/>
  <c r="I35" i="8"/>
  <c r="H9" i="9"/>
  <c r="B194" i="28" s="1" a="1"/>
  <c r="B194" i="28" s="1"/>
  <c r="H11" i="21"/>
  <c r="H10" i="21"/>
  <c r="E9" i="21"/>
  <c r="H9" i="21" s="1"/>
  <c r="H7" i="9"/>
  <c r="B192" i="28" s="1" a="1"/>
  <c r="B192" i="28" s="1"/>
  <c r="H11" i="9"/>
  <c r="B196" i="28" s="1" a="1"/>
  <c r="B196" i="28" s="1"/>
  <c r="E12" i="21"/>
  <c r="D41" i="16"/>
  <c r="D42" i="16" s="1"/>
  <c r="D55" i="16" s="1"/>
  <c r="D59" i="16" s="1"/>
  <c r="C186" i="28" s="1" a="1"/>
  <c r="C186" i="28" s="1"/>
  <c r="E46" i="16"/>
  <c r="E47" i="16" s="1"/>
  <c r="E58" i="16" s="1"/>
  <c r="E49" i="16"/>
  <c r="E56" i="16" s="1"/>
  <c r="E48" i="16"/>
  <c r="E57" i="16" s="1"/>
  <c r="E40" i="16"/>
  <c r="F39" i="16"/>
  <c r="B188" i="28" s="1" a="1"/>
  <c r="B188" i="28" s="1"/>
  <c r="D51" i="16"/>
  <c r="E50" i="16" s="1"/>
  <c r="G35" i="8"/>
  <c r="G37" i="8" s="1" a="1"/>
  <c r="G37" i="8" s="1"/>
  <c r="F32" i="12"/>
  <c r="J32" i="12"/>
  <c r="J33" i="12" s="1"/>
  <c r="I32" i="12"/>
  <c r="I33" i="12" s="1"/>
  <c r="H32" i="12"/>
  <c r="H33" i="12" s="1"/>
  <c r="D32" i="12"/>
  <c r="D33" i="12" s="1"/>
  <c r="C32" i="12"/>
  <c r="C33" i="12" s="1"/>
  <c r="K32" i="12"/>
  <c r="E32" i="12"/>
  <c r="E33" i="12" s="1"/>
  <c r="G32" i="12"/>
  <c r="G33" i="12" s="1"/>
  <c r="D35" i="8"/>
  <c r="D37" i="8" s="1" a="1"/>
  <c r="D37" i="8" s="1"/>
  <c r="C35" i="8"/>
  <c r="C37" i="8" s="1" a="1"/>
  <c r="C37" i="8" s="1"/>
  <c r="H35" i="8"/>
  <c r="H37" i="8" s="1" a="1"/>
  <c r="H37" i="8" s="1"/>
  <c r="E35" i="8"/>
  <c r="E37" i="8" s="1" a="1"/>
  <c r="E37" i="8" s="1"/>
  <c r="F24" i="8"/>
  <c r="F25" i="8" s="1"/>
  <c r="F13" i="8"/>
  <c r="F35" i="8" l="1"/>
  <c r="F37" i="8" s="1" a="1"/>
  <c r="F37" i="8" s="1"/>
  <c r="V9" i="9"/>
  <c r="X9" i="9"/>
  <c r="S9" i="9"/>
  <c r="U9" i="9"/>
  <c r="W9" i="9"/>
  <c r="T9" i="9"/>
  <c r="Z24" i="9"/>
  <c r="T8" i="9"/>
  <c r="S8" i="9"/>
  <c r="V8" i="9"/>
  <c r="W8" i="9"/>
  <c r="U8" i="9"/>
  <c r="X8" i="9"/>
  <c r="T11" i="9"/>
  <c r="S11" i="9"/>
  <c r="V11" i="9"/>
  <c r="W11" i="9"/>
  <c r="U11" i="9"/>
  <c r="X11" i="9"/>
  <c r="H8" i="21"/>
  <c r="C30" i="21"/>
  <c r="C31" i="21" s="1"/>
  <c r="D29" i="21" s="1"/>
  <c r="V7" i="9"/>
  <c r="U7" i="9"/>
  <c r="X7" i="9"/>
  <c r="T7" i="9"/>
  <c r="W7" i="9"/>
  <c r="S7" i="9"/>
  <c r="F33" i="12"/>
  <c r="C27" i="19"/>
  <c r="K33" i="12"/>
  <c r="C26" i="19"/>
  <c r="G9" i="21"/>
  <c r="J9" i="21" s="1"/>
  <c r="I37" i="8" a="1"/>
  <c r="I37" i="8" s="1"/>
  <c r="C28" i="19"/>
  <c r="Y24" i="9"/>
  <c r="G12" i="21"/>
  <c r="J12" i="21" s="1"/>
  <c r="H12" i="21"/>
  <c r="J8" i="21"/>
  <c r="E51" i="16"/>
  <c r="F50" i="16" s="1"/>
  <c r="E41" i="16"/>
  <c r="E42" i="16" s="1"/>
  <c r="E55" i="16" s="1"/>
  <c r="E59" i="16" s="1"/>
  <c r="C187" i="28" s="1" a="1"/>
  <c r="C187" i="28" s="1"/>
  <c r="F46" i="16"/>
  <c r="F47" i="16" s="1"/>
  <c r="F58" i="16" s="1"/>
  <c r="F48" i="16"/>
  <c r="F57" i="16" s="1"/>
  <c r="F40" i="16"/>
  <c r="G39" i="16"/>
  <c r="B189" i="28" s="1" a="1"/>
  <c r="B189" i="28" s="1"/>
  <c r="F49" i="16"/>
  <c r="F56" i="16" s="1"/>
  <c r="H15" i="21" l="1"/>
  <c r="Y22" i="9"/>
  <c r="Y26" i="9"/>
  <c r="Y27" i="9" s="1" a="1"/>
  <c r="Y27" i="9" s="1"/>
  <c r="Z26" i="9"/>
  <c r="Z27" i="9" s="1" a="1"/>
  <c r="Z27" i="9" s="1"/>
  <c r="Z22" i="9"/>
  <c r="T22" i="9"/>
  <c r="T24" i="9" s="1"/>
  <c r="T26" i="9" s="1"/>
  <c r="T27" i="9" s="1" a="1"/>
  <c r="T27" i="9" s="1"/>
  <c r="X22" i="9"/>
  <c r="X24" i="9" s="1"/>
  <c r="X26" i="9" s="1"/>
  <c r="X27" i="9" s="1" a="1"/>
  <c r="X27" i="9" s="1"/>
  <c r="H14" i="21"/>
  <c r="V22" i="9"/>
  <c r="V24" i="9" s="1"/>
  <c r="V26" i="9" s="1"/>
  <c r="V27" i="9" s="1" a="1"/>
  <c r="V27" i="9" s="1"/>
  <c r="W22" i="9"/>
  <c r="W24" i="9" s="1"/>
  <c r="W26" i="9" s="1"/>
  <c r="W27" i="9" s="1" a="1"/>
  <c r="W27" i="9" s="1"/>
  <c r="S22" i="9"/>
  <c r="S24" i="9" s="1"/>
  <c r="S26" i="9" s="1"/>
  <c r="S27" i="9" s="1" a="1"/>
  <c r="S27" i="9" s="1"/>
  <c r="D30" i="21"/>
  <c r="D33" i="21" s="1"/>
  <c r="G15" i="21"/>
  <c r="G14" i="21"/>
  <c r="C34" i="19"/>
  <c r="C9" i="20" s="1"/>
  <c r="D9" i="20" s="1"/>
  <c r="E9" i="20" s="1"/>
  <c r="U22" i="9"/>
  <c r="U24" i="9" s="1"/>
  <c r="U26" i="9" s="1"/>
  <c r="U27" i="9" s="1" a="1"/>
  <c r="U27" i="9" s="1"/>
  <c r="J15" i="21"/>
  <c r="K28" i="21" s="1"/>
  <c r="J14" i="21"/>
  <c r="G48" i="16"/>
  <c r="G57" i="16" s="1"/>
  <c r="G40" i="16"/>
  <c r="G46" i="16"/>
  <c r="G47" i="16" s="1"/>
  <c r="G58" i="16" s="1"/>
  <c r="G49" i="16"/>
  <c r="G56" i="16" s="1"/>
  <c r="F41" i="16"/>
  <c r="F42" i="16" s="1"/>
  <c r="F55" i="16" s="1"/>
  <c r="F59" i="16" s="1"/>
  <c r="C188" i="28" s="1" a="1"/>
  <c r="C188" i="28" s="1"/>
  <c r="F51" i="16"/>
  <c r="G50" i="16" s="1"/>
  <c r="D31" i="21" l="1"/>
  <c r="E31" i="21" s="1"/>
  <c r="E30" i="21" s="1"/>
  <c r="E33" i="21" s="1"/>
  <c r="K29" i="21" s="1"/>
  <c r="K31" i="21" s="1"/>
  <c r="K23" i="21" s="1"/>
  <c r="C33" i="19"/>
  <c r="C8" i="20" s="1"/>
  <c r="D8" i="20" s="1"/>
  <c r="E8" i="20" s="1"/>
  <c r="G51" i="16"/>
  <c r="G41" i="16"/>
  <c r="G42" i="16" s="1"/>
  <c r="G55" i="16" s="1"/>
  <c r="G59" i="16" s="1"/>
  <c r="C189" i="28" s="1" a="1"/>
  <c r="C189" i="28" s="1"/>
  <c r="C6" i="3"/>
  <c r="D6" i="3"/>
  <c r="E6" i="3"/>
  <c r="F6" i="3"/>
  <c r="G6" i="3"/>
  <c r="H6" i="3"/>
  <c r="I6" i="3"/>
  <c r="J6" i="3"/>
  <c r="K6" i="3"/>
  <c r="B6" i="3"/>
  <c r="C5" i="1"/>
  <c r="D5" i="1"/>
  <c r="E5" i="1"/>
  <c r="F5" i="1"/>
  <c r="G5" i="1"/>
  <c r="H5" i="1"/>
  <c r="I5" i="1"/>
  <c r="J5" i="1"/>
  <c r="K5" i="1"/>
  <c r="B5" i="1"/>
  <c r="B6" i="6"/>
  <c r="C17" i="2"/>
  <c r="D17" i="2"/>
  <c r="E17" i="2"/>
  <c r="F17" i="2"/>
  <c r="G17" i="2"/>
  <c r="H17" i="2"/>
  <c r="I17" i="2"/>
  <c r="J17" i="2"/>
  <c r="K17" i="2"/>
  <c r="C18" i="2"/>
  <c r="D18" i="2"/>
  <c r="D21" i="2" s="1"/>
  <c r="E18" i="2"/>
  <c r="F18" i="2"/>
  <c r="G18" i="2"/>
  <c r="H18" i="2"/>
  <c r="I18" i="2"/>
  <c r="J18" i="2"/>
  <c r="K18" i="2"/>
  <c r="B17" i="2"/>
  <c r="C4" i="2"/>
  <c r="D4" i="2"/>
  <c r="B175" i="28" s="1" a="1"/>
  <c r="B175" i="28" s="1"/>
  <c r="E4" i="2"/>
  <c r="E5" i="2"/>
  <c r="F4" i="2"/>
  <c r="G4" i="2"/>
  <c r="H4" i="2"/>
  <c r="B179" i="28" s="1" a="1"/>
  <c r="B179" i="28" s="1"/>
  <c r="I4" i="2"/>
  <c r="I5" i="2"/>
  <c r="J4" i="2"/>
  <c r="J5" i="2"/>
  <c r="K4" i="2"/>
  <c r="B182" i="28" s="1" a="1"/>
  <c r="B182" i="28" s="1"/>
  <c r="C5" i="2"/>
  <c r="D5" i="2"/>
  <c r="F5" i="2"/>
  <c r="F23" i="2" s="1"/>
  <c r="G5" i="2"/>
  <c r="H5" i="2"/>
  <c r="K5" i="2"/>
  <c r="C6" i="2"/>
  <c r="C174" i="28" s="1" a="1"/>
  <c r="C174" i="28" s="1"/>
  <c r="D6" i="2"/>
  <c r="C175" i="28" s="1" a="1"/>
  <c r="C175" i="28" s="1"/>
  <c r="E6" i="2"/>
  <c r="C176" i="28" s="1" a="1"/>
  <c r="C176" i="28" s="1"/>
  <c r="F6" i="2"/>
  <c r="C177" i="28" s="1" a="1"/>
  <c r="C177" i="28" s="1"/>
  <c r="G6" i="2"/>
  <c r="C178" i="28" s="1" a="1"/>
  <c r="C178" i="28" s="1"/>
  <c r="H6" i="2"/>
  <c r="C179" i="28" s="1" a="1"/>
  <c r="C179" i="28" s="1"/>
  <c r="I6" i="2"/>
  <c r="C180" i="28" s="1" a="1"/>
  <c r="C180" i="28" s="1"/>
  <c r="J6" i="2"/>
  <c r="C181" i="28" s="1" a="1"/>
  <c r="C181" i="28" s="1"/>
  <c r="K6" i="2"/>
  <c r="C182" i="28" s="1" a="1"/>
  <c r="C182" i="28" s="1"/>
  <c r="C7" i="2"/>
  <c r="D174" i="28" s="1" a="1"/>
  <c r="D174" i="28" s="1"/>
  <c r="D7" i="2"/>
  <c r="D175" i="28" s="1" a="1"/>
  <c r="D175" i="28" s="1"/>
  <c r="E7" i="2"/>
  <c r="D176" i="28" s="1" a="1"/>
  <c r="D176" i="28" s="1"/>
  <c r="F7" i="2"/>
  <c r="D177" i="28" s="1" a="1"/>
  <c r="D177" i="28" s="1"/>
  <c r="G7" i="2"/>
  <c r="D178" i="28" s="1" a="1"/>
  <c r="D178" i="28" s="1"/>
  <c r="H7" i="2"/>
  <c r="D179" i="28" s="1" a="1"/>
  <c r="D179" i="28" s="1"/>
  <c r="I7" i="2"/>
  <c r="D180" i="28" s="1" a="1"/>
  <c r="D180" i="28" s="1"/>
  <c r="J7" i="2"/>
  <c r="D181" i="28" s="1" a="1"/>
  <c r="D181" i="28" s="1"/>
  <c r="K7" i="2"/>
  <c r="D182" i="28" s="1" a="1"/>
  <c r="D182" i="28" s="1"/>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D16" i="2" s="1"/>
  <c r="E13" i="2"/>
  <c r="F13" i="2"/>
  <c r="F16" i="2" s="1"/>
  <c r="G13" i="2"/>
  <c r="H13" i="2"/>
  <c r="H16" i="2" s="1"/>
  <c r="I13" i="2"/>
  <c r="J13" i="2"/>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E14" i="3" s="1"/>
  <c r="F4" i="3"/>
  <c r="G4" i="3"/>
  <c r="G14" i="3" s="1"/>
  <c r="H4" i="3"/>
  <c r="H14" i="3" s="1"/>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B103" i="28" s="1" a="1"/>
  <c r="B103" i="28" s="1"/>
  <c r="E4" i="1"/>
  <c r="E20" i="2" s="1"/>
  <c r="F4" i="1"/>
  <c r="G4" i="1"/>
  <c r="H4" i="1"/>
  <c r="B107" i="28" s="1" a="1"/>
  <c r="B107" i="28" s="1"/>
  <c r="I4" i="1"/>
  <c r="J4" i="1"/>
  <c r="J20" i="2" s="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D12" i="1"/>
  <c r="C103" i="28" s="1" a="1"/>
  <c r="C103" i="28" s="1"/>
  <c r="E12" i="1"/>
  <c r="C104" i="28" s="1" a="1"/>
  <c r="C104" i="28" s="1"/>
  <c r="F12" i="1"/>
  <c r="G12" i="1"/>
  <c r="H12" i="1"/>
  <c r="I12" i="1"/>
  <c r="J12" i="1"/>
  <c r="K12" i="1"/>
  <c r="C15" i="1"/>
  <c r="D15" i="1"/>
  <c r="E15" i="1"/>
  <c r="F15" i="1"/>
  <c r="G15" i="1"/>
  <c r="H15" i="1"/>
  <c r="I15" i="1"/>
  <c r="J15" i="1"/>
  <c r="K15" i="1"/>
  <c r="B15" i="1"/>
  <c r="B7" i="1"/>
  <c r="B4" i="1"/>
  <c r="B101" i="28" s="1" a="1"/>
  <c r="B101" i="28" s="1"/>
  <c r="A1" i="1"/>
  <c r="A1" i="2" s="1"/>
  <c r="A1" i="4" s="1"/>
  <c r="E1" i="6"/>
  <c r="H1" i="1" s="1"/>
  <c r="E1" i="2"/>
  <c r="G23" i="2"/>
  <c r="D6" i="1"/>
  <c r="D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B18" i="2"/>
  <c r="B13" i="2"/>
  <c r="B12" i="2"/>
  <c r="B11" i="2"/>
  <c r="B10" i="2"/>
  <c r="B8" i="2"/>
  <c r="B7" i="2"/>
  <c r="D173" i="28" s="1" a="1"/>
  <c r="D173" i="28" s="1"/>
  <c r="B6" i="2"/>
  <c r="C173" i="28" s="1" a="1"/>
  <c r="C173" i="28" s="1"/>
  <c r="B3" i="2"/>
  <c r="B12" i="3"/>
  <c r="B11" i="3"/>
  <c r="B10" i="3"/>
  <c r="B9" i="3"/>
  <c r="B8" i="3"/>
  <c r="B7" i="3"/>
  <c r="B4" i="3"/>
  <c r="B14" i="3" s="1"/>
  <c r="B3" i="3"/>
  <c r="L15" i="1"/>
  <c r="B12" i="1"/>
  <c r="B11" i="1"/>
  <c r="B10" i="1"/>
  <c r="B9" i="1"/>
  <c r="B8" i="1"/>
  <c r="B3" i="1"/>
  <c r="D20" i="2"/>
  <c r="L12" i="1"/>
  <c r="L13" i="1" s="1"/>
  <c r="E21" i="2" l="1"/>
  <c r="L14" i="1"/>
  <c r="L25" i="1" s="1"/>
  <c r="K23" i="2"/>
  <c r="B181" i="28" a="1"/>
  <c r="B181" i="28" s="1"/>
  <c r="G20" i="2"/>
  <c r="B106" i="28" a="1"/>
  <c r="B106" i="28" s="1"/>
  <c r="F14" i="3"/>
  <c r="C16" i="2"/>
  <c r="B174" i="28" a="1"/>
  <c r="B174" i="28" s="1"/>
  <c r="B176" i="28" a="1"/>
  <c r="B176" i="28" s="1"/>
  <c r="L6" i="1"/>
  <c r="L19" i="1" s="1"/>
  <c r="L24" i="1" s="1"/>
  <c r="L5" i="1"/>
  <c r="K13" i="1"/>
  <c r="F6" i="28"/>
  <c r="C110" i="28" a="1"/>
  <c r="C110" i="28" s="1"/>
  <c r="E6" i="1"/>
  <c r="E19" i="1" s="1"/>
  <c r="B104" i="28" a="1"/>
  <c r="B104" i="28" s="1"/>
  <c r="K21" i="2"/>
  <c r="J21" i="2"/>
  <c r="B109" i="28" a="1"/>
  <c r="B109" i="28" s="1"/>
  <c r="I21" i="2"/>
  <c r="B108" i="28" a="1"/>
  <c r="B108" i="28" s="1"/>
  <c r="J13" i="1"/>
  <c r="J14" i="1" s="1"/>
  <c r="C109" i="28" a="1"/>
  <c r="C109" i="28" s="1"/>
  <c r="C13" i="1"/>
  <c r="C14" i="1" s="1"/>
  <c r="C102" i="28" a="1"/>
  <c r="C102" i="28" s="1"/>
  <c r="F20" i="2"/>
  <c r="B105" i="28" a="1"/>
  <c r="B105" i="28" s="1"/>
  <c r="I13" i="1"/>
  <c r="I14" i="1" s="1"/>
  <c r="C108" i="28" a="1"/>
  <c r="C108" i="28" s="1"/>
  <c r="C6" i="1"/>
  <c r="C19" i="1" s="1"/>
  <c r="B102" i="28" a="1"/>
  <c r="B102" i="28" s="1"/>
  <c r="B173" i="28" a="1"/>
  <c r="B173" i="28" s="1"/>
  <c r="H13" i="1"/>
  <c r="H14" i="1" s="1"/>
  <c r="C107" i="28" a="1"/>
  <c r="C107" i="28" s="1"/>
  <c r="B180" i="28" a="1"/>
  <c r="B180" i="28" s="1"/>
  <c r="G13" i="1"/>
  <c r="G14" i="1" s="1"/>
  <c r="C106" i="28" a="1"/>
  <c r="C106" i="28" s="1"/>
  <c r="B178" i="28" a="1"/>
  <c r="B178" i="28" s="1"/>
  <c r="B13" i="1"/>
  <c r="B14" i="1" s="1"/>
  <c r="C101" i="28" a="1"/>
  <c r="C101" i="28" s="1"/>
  <c r="F13" i="1"/>
  <c r="F14" i="1" s="1"/>
  <c r="C105" i="28" a="1"/>
  <c r="C105" i="28" s="1"/>
  <c r="B6" i="28"/>
  <c r="B110" i="28" a="1"/>
  <c r="B110" i="28" s="1"/>
  <c r="B177" i="28" a="1"/>
  <c r="B177" i="28" s="1"/>
  <c r="C23" i="2"/>
  <c r="B20" i="2"/>
  <c r="J23" i="2"/>
  <c r="B16" i="2"/>
  <c r="G6" i="1"/>
  <c r="G19" i="1" s="1"/>
  <c r="D23" i="2"/>
  <c r="B21" i="2"/>
  <c r="J6" i="1"/>
  <c r="J19" i="1" s="1"/>
  <c r="L11" i="1"/>
  <c r="K16" i="2"/>
  <c r="J23" i="1"/>
  <c r="I6" i="1"/>
  <c r="I19" i="1" s="1"/>
  <c r="K24" i="1" s="1"/>
  <c r="J16" i="2"/>
  <c r="L10" i="1"/>
  <c r="A1" i="3"/>
  <c r="G21" i="2"/>
  <c r="L4" i="1"/>
  <c r="L23" i="1" s="1"/>
  <c r="K6" i="1"/>
  <c r="K19" i="1" s="1"/>
  <c r="J14" i="3"/>
  <c r="H23" i="2"/>
  <c r="I14" i="3"/>
  <c r="K38" i="21"/>
  <c r="K24" i="21"/>
  <c r="J38" i="21" s="1"/>
  <c r="K39" i="21" s="1"/>
  <c r="C22" i="16"/>
  <c r="K20" i="2"/>
  <c r="C21" i="2"/>
  <c r="F24" i="2"/>
  <c r="E24" i="2"/>
  <c r="B6" i="1"/>
  <c r="B19" i="1" s="1"/>
  <c r="L7" i="1"/>
  <c r="D24" i="2"/>
  <c r="F21" i="2"/>
  <c r="E1" i="3"/>
  <c r="I16" i="2"/>
  <c r="K24" i="2"/>
  <c r="D13" i="1"/>
  <c r="E13" i="1" s="1"/>
  <c r="E14" i="1" s="1"/>
  <c r="G16" i="2"/>
  <c r="I23" i="1"/>
  <c r="C20" i="2"/>
  <c r="L8" i="1"/>
  <c r="N8" i="1" s="1"/>
  <c r="J24" i="2"/>
  <c r="C24" i="2"/>
  <c r="I23" i="2"/>
  <c r="H21" i="2"/>
  <c r="B23" i="2"/>
  <c r="H23" i="1"/>
  <c r="I24" i="2"/>
  <c r="H24" i="2"/>
  <c r="G24" i="2"/>
  <c r="L9" i="1"/>
  <c r="M9" i="1" s="1"/>
  <c r="E16" i="2"/>
  <c r="E23" i="2"/>
  <c r="I20" i="2"/>
  <c r="H20" i="2"/>
  <c r="K23" i="1"/>
  <c r="H6" i="1"/>
  <c r="H19" i="1" s="1"/>
  <c r="F6" i="1"/>
  <c r="F19" i="1" s="1"/>
  <c r="E1" i="4"/>
  <c r="J24" i="1" l="1"/>
  <c r="D14" i="1"/>
  <c r="M24" i="1"/>
  <c r="M23" i="1"/>
  <c r="M4" i="1" s="1"/>
  <c r="N23" i="1"/>
  <c r="N4" i="1" s="1"/>
  <c r="C23" i="16"/>
  <c r="C35" i="16" s="1"/>
  <c r="B84" i="16" s="1"/>
  <c r="C19" i="18"/>
  <c r="K14" i="1"/>
  <c r="H25" i="1" s="1"/>
  <c r="B9" i="28"/>
  <c r="N11" i="1"/>
  <c r="K25" i="1"/>
  <c r="M25" i="1" s="1"/>
  <c r="M14" i="1" s="1"/>
  <c r="I24" i="1"/>
  <c r="H24" i="1"/>
  <c r="M8" i="1"/>
  <c r="M11" i="1"/>
  <c r="N9" i="1"/>
  <c r="M6" i="1" l="1"/>
  <c r="M10" i="1" s="1"/>
  <c r="M12" i="1" s="1"/>
  <c r="M13" i="1" s="1"/>
  <c r="N24" i="1"/>
  <c r="C84" i="16" a="1"/>
  <c r="C84" i="16" s="1"/>
  <c r="E84" i="16" a="1"/>
  <c r="E84" i="16" s="1"/>
  <c r="D84" i="16" a="1"/>
  <c r="D84" i="16" s="1"/>
  <c r="G84" i="16" a="1"/>
  <c r="G84" i="16" s="1"/>
  <c r="F84" i="16" a="1"/>
  <c r="F84" i="16" s="1"/>
  <c r="B83" i="16"/>
  <c r="B85" i="16"/>
  <c r="C61" i="16"/>
  <c r="C62" i="16" s="1"/>
  <c r="G61" i="16"/>
  <c r="G62" i="16" s="1"/>
  <c r="C26" i="18"/>
  <c r="C21" i="18"/>
  <c r="I25" i="1"/>
  <c r="N6" i="1"/>
  <c r="N10" i="1" s="1"/>
  <c r="N12" i="1" s="1"/>
  <c r="N13" i="1" s="1"/>
  <c r="J25" i="1"/>
  <c r="E61" i="16"/>
  <c r="E62" i="16" s="1"/>
  <c r="F61" i="16"/>
  <c r="F62" i="16" s="1"/>
  <c r="C67" i="16"/>
  <c r="D61" i="16"/>
  <c r="D62" i="16" s="1"/>
  <c r="M5" i="1"/>
  <c r="N25" i="1" l="1"/>
  <c r="N14" i="1" s="1"/>
  <c r="N15" i="1" s="1"/>
  <c r="B86" i="16"/>
  <c r="F85" i="16" a="1"/>
  <c r="F85" i="16" s="1"/>
  <c r="G85" i="16" a="1"/>
  <c r="G85" i="16" s="1"/>
  <c r="D85" i="16" a="1"/>
  <c r="D85" i="16" s="1"/>
  <c r="C85" i="16" a="1"/>
  <c r="C85" i="16" s="1"/>
  <c r="E85" i="16" a="1"/>
  <c r="E85" i="16" s="1"/>
  <c r="B82" i="16"/>
  <c r="D83" i="16" a="1"/>
  <c r="D83" i="16" s="1"/>
  <c r="C83" i="16" a="1"/>
  <c r="C83" i="16" s="1"/>
  <c r="G83" i="16" a="1"/>
  <c r="G83" i="16" s="1"/>
  <c r="F83" i="16" a="1"/>
  <c r="F83" i="16" s="1"/>
  <c r="E83" i="16" a="1"/>
  <c r="E83" i="16" s="1"/>
  <c r="C68" i="16"/>
  <c r="C66" i="16"/>
  <c r="N5" i="1"/>
  <c r="F82" i="16" l="1" a="1"/>
  <c r="F82" i="16" s="1"/>
  <c r="E82" i="16" a="1"/>
  <c r="E82" i="16" s="1"/>
  <c r="G82" i="16" a="1"/>
  <c r="G82" i="16" s="1"/>
  <c r="D82" i="16" a="1"/>
  <c r="D82" i="16" s="1"/>
  <c r="C82" i="16" a="1"/>
  <c r="C82" i="16" s="1"/>
  <c r="D86" i="16" a="1"/>
  <c r="D86" i="16" s="1"/>
  <c r="G86" i="16" a="1"/>
  <c r="G86" i="16" s="1"/>
  <c r="F86" i="16" a="1"/>
  <c r="F86" i="16" s="1"/>
  <c r="C86" i="16" a="1"/>
  <c r="C86" i="16" s="1"/>
  <c r="E86" i="16" a="1"/>
  <c r="E86" i="16" s="1"/>
  <c r="C69" i="16"/>
  <c r="C72" i="16" s="1"/>
  <c r="C74" i="16" s="1"/>
  <c r="C76" i="16" s="1"/>
  <c r="C36" i="19" s="1"/>
  <c r="C32" i="19"/>
  <c r="C7" i="20" s="1"/>
  <c r="B81" i="16" l="1"/>
  <c r="D7" i="20"/>
  <c r="E7" i="20" s="1"/>
  <c r="C10" i="20"/>
  <c r="D10" i="20" s="1"/>
  <c r="E10"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Raunak Singh</author>
  </authors>
  <commentList>
    <comment ref="C6" authorId="0" shapeId="0" xr:uid="{25A7E433-B85A-4D3F-8755-5D0A83B26A0F}">
      <text>
        <r>
          <rPr>
            <b/>
            <sz val="9"/>
            <color indexed="81"/>
            <rFont val="Tahoma"/>
            <charset val="1"/>
          </rPr>
          <t>Raunak Singh:</t>
        </r>
        <r>
          <rPr>
            <sz val="9"/>
            <color indexed="81"/>
            <rFont val="Tahoma"/>
            <charset val="1"/>
          </rPr>
          <t xml:space="preserve">
Source: Aswath Damodaran, Implied ERP for S&amp;P 500, July 2026 update (NYU Stern), https://pages.stern.nyu.edu/~adamodar/pc/implprem/ERPJuly26.xlsx. S&amp;P 500 at 7,499.36 on 1-Jul-2026 implies a 4.42% ERP.</t>
        </r>
      </text>
    </comment>
    <comment ref="C7" authorId="0" shapeId="0" xr:uid="{C65A0E9F-D383-4C59-96B9-94A5740441A7}">
      <text>
        <r>
          <rPr>
            <b/>
            <sz val="9"/>
            <color indexed="81"/>
            <rFont val="Tahoma"/>
            <charset val="1"/>
          </rPr>
          <t>Raunak Singh:</t>
        </r>
        <r>
          <rPr>
            <sz val="9"/>
            <color indexed="81"/>
            <rFont val="Tahoma"/>
            <charset val="1"/>
          </rPr>
          <t xml:space="preserve">
Source: Aswath Damodaran, Country Risk: Determinants, Measures and Implications – The 2026 Edition, July 2026 (NYU Stern / Substack). Default spread for Aa1-rated US sovereign debt, used to strip default risk out of the implied ERP.</t>
        </r>
      </text>
    </comment>
    <comment ref="C11" authorId="0" shapeId="0" xr:uid="{45AB5242-D7ED-4BBE-BF27-FF61B562D8E3}">
      <text>
        <r>
          <rPr>
            <b/>
            <sz val="9"/>
            <color indexed="81"/>
            <rFont val="Tahoma"/>
            <charset val="1"/>
          </rPr>
          <t>Raunak Singh:</t>
        </r>
        <r>
          <rPr>
            <sz val="9"/>
            <color indexed="81"/>
            <rFont val="Tahoma"/>
            <charset val="1"/>
          </rPr>
          <t xml:space="preserve">
Source: Aswath Damodaran, Equity Risk Premiums by Country, July 2026 update (NYU Stern), https://pages.stern.nyu.edu/~adamodar/New_Home_Page/datafile/ctryprem.html. Total ERP for India = mature market ERP + India country risk premium.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Raunak Singh</author>
  </authors>
  <commentList>
    <comment ref="K22" authorId="0" shapeId="0" xr:uid="{0832BD42-390E-4282-BE32-B1573B0DBC44}">
      <text>
        <r>
          <rPr>
            <b/>
            <sz val="9"/>
            <color indexed="81"/>
            <rFont val="Tahoma"/>
            <charset val="1"/>
          </rPr>
          <t>Linked to the ERP calculation sheet (Mature Market ERP + India Country Risk Premium). Previously a broken link to a deleted 'ERP' worksheet; ERP sheet rebuilt with full derivation.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Raunak Singh</author>
  </authors>
  <commentList>
    <comment ref="B84" authorId="0" shapeId="0" xr:uid="{AD77A036-1348-426B-9791-8030624D1240}">
      <text>
        <r>
          <rPr>
            <b/>
            <sz val="9"/>
            <color indexed="81"/>
            <rFont val="Tahoma"/>
            <charset val="1"/>
          </rPr>
          <t>Raunak Singh:</t>
        </r>
        <r>
          <rPr>
            <sz val="9"/>
            <color indexed="81"/>
            <rFont val="Tahoma"/>
            <charset val="1"/>
          </rPr>
          <t xml:space="preserve">
Recentred to the model's live WACC (was hardcoded at 11.5434%, stale after the ERP fix).</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<sst xmlns="http://schemas.openxmlformats.org/spreadsheetml/2006/main" count="1081" uniqueCount="663">
  <si>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</si>
  <si>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</si>
  <si>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</si>
  <si>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</si>
  <si>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</si>
  <si>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</si>
  <si>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</si>
  <si>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</si>
  <si>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</si>
  <si>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</si>
  <si>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</si>
  <si>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</si>
  <si>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</si>
  <si>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</si>
  <si>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</si>
  <si>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</si>
  <si>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</si>
  <si>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</si>
  <si>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</si>
  <si>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</si>
  <si>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</si>
  <si>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</si>
  <si>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</si>
  <si>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</si>
  <si>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</si>
  <si>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</si>
  <si>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</si>
  <si>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</si>
  <si>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</si>
  <si>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</si>
  <si>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</si>
  <si>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</si>
  <si>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</si>
  <si>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</si>
  <si>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</si>
  <si>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</si>
  <si>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</si>
  <si>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</si>
  <si>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</si>
  <si>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</si>
  <si>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</si>
  <si>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</si>
  <si>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</si>
  <si>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</si>
  <si>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</si>
  <si>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</si>
  <si>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</si>
  <si>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</si>
  <si>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EPS</t>
  </si>
  <si>
    <t>Price</t>
  </si>
  <si>
    <t>Return on Equity</t>
  </si>
  <si>
    <t>Return on Capital Emp</t>
  </si>
  <si>
    <t>LATEST VERSION</t>
  </si>
  <si>
    <t>CURRENT VERSION</t>
  </si>
  <si>
    <t>HINDUSTAN UNILEVER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</si>
  <si>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</si>
  <si>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</si>
  <si>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</si>
  <si>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</si>
  <si>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</si>
  <si>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</si>
  <si>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</si>
  <si>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</si>
  <si>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</si>
  <si>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</si>
  <si>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</si>
  <si>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</si>
  <si>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</si>
  <si>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</si>
  <si>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</si>
  <si>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</si>
  <si>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</si>
  <si>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</si>
  <si>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</si>
  <si>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</si>
  <si>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</si>
  <si>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</si>
  <si>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</si>
  <si>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</si>
  <si>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</si>
  <si>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</si>
  <si>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 xml:space="preserve"> </t>
  </si>
  <si>
    <t>Working Capital / Total  Assets</t>
  </si>
  <si>
    <t>Total Asset</t>
  </si>
  <si>
    <t>Retained Earnings / Total Assets</t>
  </si>
  <si>
    <t xml:space="preserve">Retained Earnings  </t>
  </si>
  <si>
    <t>EBIT / Total Assets</t>
  </si>
  <si>
    <t>EBIT</t>
  </si>
  <si>
    <t>Revenue / Total Assets</t>
  </si>
  <si>
    <t>Revenue</t>
  </si>
  <si>
    <t>Market Cap. / Long term liabilities</t>
  </si>
  <si>
    <t xml:space="preserve">Market Cap.  </t>
  </si>
  <si>
    <t>Altman's Z Score</t>
  </si>
  <si>
    <t>Final Score</t>
  </si>
  <si>
    <t>Verdict</t>
  </si>
  <si>
    <t>&lt;1.81 - distressed</t>
  </si>
  <si>
    <t>1.81-3 = grey zone</t>
  </si>
  <si>
    <t>&gt;3 = stable</t>
  </si>
  <si>
    <t>S.No.</t>
  </si>
  <si>
    <t>Name</t>
  </si>
  <si>
    <t>CMP Rs.</t>
  </si>
  <si>
    <t>Mar Cap Rs.Cr.</t>
  </si>
  <si>
    <t>P/E</t>
  </si>
  <si>
    <t>NP 12M Rs.Cr.</t>
  </si>
  <si>
    <t>No. Eq. Shares Cr.</t>
  </si>
  <si>
    <t>Cash End Rs.Cr.</t>
  </si>
  <si>
    <t>EBIDT Ann Rs.Cr.</t>
  </si>
  <si>
    <t>Sales Rs.Cr.</t>
  </si>
  <si>
    <t>PAT 12M Rs.Cr.</t>
  </si>
  <si>
    <t>Debt Rs.Cr.</t>
  </si>
  <si>
    <t>Eq Cap Rs.Cr.</t>
  </si>
  <si>
    <t>Hind. Unilever</t>
  </si>
  <si>
    <t>ITC</t>
  </si>
  <si>
    <t>Comparable  Company  Valuation</t>
  </si>
  <si>
    <t>Market Data</t>
  </si>
  <si>
    <t>Financials</t>
  </si>
  <si>
    <t>Valuation</t>
  </si>
  <si>
    <t>Company</t>
  </si>
  <si>
    <t>Ticker</t>
  </si>
  <si>
    <t>Share Price</t>
  </si>
  <si>
    <t xml:space="preserve"> Share Outstanding</t>
  </si>
  <si>
    <t>Equity Value</t>
  </si>
  <si>
    <t>Net Debt</t>
  </si>
  <si>
    <t>Enterprise Value</t>
  </si>
  <si>
    <t>EBITDA</t>
  </si>
  <si>
    <t>Net Income</t>
  </si>
  <si>
    <t>EV/Revenue</t>
  </si>
  <si>
    <t>EV/EBITDA</t>
  </si>
  <si>
    <t>High</t>
  </si>
  <si>
    <t>75th Percentile</t>
  </si>
  <si>
    <t>Average</t>
  </si>
  <si>
    <t>Median</t>
  </si>
  <si>
    <t>25th Percentile</t>
  </si>
  <si>
    <t>Low</t>
  </si>
  <si>
    <t>Titan Company Comparable Valuation</t>
  </si>
  <si>
    <t>Implied Enterprise Value</t>
  </si>
  <si>
    <t>Implied Value of Equity</t>
  </si>
  <si>
    <t>No. of Shares</t>
  </si>
  <si>
    <t>Implied Value per Share</t>
  </si>
  <si>
    <t>Godrej Consumer</t>
  </si>
  <si>
    <t>Marico</t>
  </si>
  <si>
    <t>EV/ EBIT</t>
  </si>
  <si>
    <t>Nestle India</t>
  </si>
  <si>
    <t>Cash Flows</t>
  </si>
  <si>
    <t>Consolidated Figures in Rs. Crores / View Standalone</t>
  </si>
  <si>
    <r>
      <t>Cash from Operating Activity </t>
    </r>
    <r>
      <rPr>
        <sz val="11"/>
        <color rgb="FF665EFD"/>
        <rFont val="Arial"/>
        <family val="2"/>
      </rPr>
      <t>-</t>
    </r>
  </si>
  <si>
    <t>Profit from operations</t>
  </si>
  <si>
    <t>Payables</t>
  </si>
  <si>
    <t>Loans Advances</t>
  </si>
  <si>
    <t>Operating Deposits</t>
  </si>
  <si>
    <t>Other WC items</t>
  </si>
  <si>
    <t>Working capital changes</t>
  </si>
  <si>
    <t>Direct taxes</t>
  </si>
  <si>
    <t>Other operating items</t>
  </si>
  <si>
    <t>Exceptional CF items</t>
  </si>
  <si>
    <r>
      <t>Cash from Investing Activity </t>
    </r>
    <r>
      <rPr>
        <sz val="11"/>
        <color rgb="FF665EFD"/>
        <rFont val="Arial"/>
        <family val="2"/>
      </rPr>
      <t>-</t>
    </r>
  </si>
  <si>
    <t>Fixed assets purchased</t>
  </si>
  <si>
    <t>Fixed assets sold</t>
  </si>
  <si>
    <t>Investments purchased</t>
  </si>
  <si>
    <t>Investments sold</t>
  </si>
  <si>
    <t>Interest received</t>
  </si>
  <si>
    <t>Dividends received</t>
  </si>
  <si>
    <t>Redemp n Canc of Shares</t>
  </si>
  <si>
    <t>Acquisition of companies</t>
  </si>
  <si>
    <t>Other investing items</t>
  </si>
  <si>
    <r>
      <t>Cash from Financing Activity </t>
    </r>
    <r>
      <rPr>
        <sz val="11"/>
        <color rgb="FF665EFD"/>
        <rFont val="Arial"/>
        <family val="2"/>
      </rPr>
      <t>-</t>
    </r>
  </si>
  <si>
    <t>Proceeds from shares</t>
  </si>
  <si>
    <t>Proceeds from borrowings</t>
  </si>
  <si>
    <t>Repayment of borrowings</t>
  </si>
  <si>
    <t>Interest paid fin</t>
  </si>
  <si>
    <t>Dividends paid</t>
  </si>
  <si>
    <t>Financial liabilities</t>
  </si>
  <si>
    <t>Other financing items</t>
  </si>
  <si>
    <t>Free Cash Flow</t>
  </si>
  <si>
    <t>CFO/OP</t>
  </si>
  <si>
    <t>Weights</t>
  </si>
  <si>
    <t>Ratio</t>
  </si>
  <si>
    <t>FY17</t>
  </si>
  <si>
    <t>FY18</t>
  </si>
  <si>
    <t>FY19</t>
  </si>
  <si>
    <t>FY20</t>
  </si>
  <si>
    <t>FY21</t>
  </si>
  <si>
    <t>FY22</t>
  </si>
  <si>
    <t>FY23</t>
  </si>
  <si>
    <t>FY24</t>
  </si>
  <si>
    <t>FY25</t>
  </si>
  <si>
    <t>FY26</t>
  </si>
  <si>
    <t>1.  LIQUIDITY RATIOS</t>
  </si>
  <si>
    <t>Current Ratio
(Current Assets ÷ Current Liabilities)</t>
  </si>
  <si>
    <t>Quick Ratio
((Current Assets − Inventory) ÷ Current Liabilities)</t>
  </si>
  <si>
    <t>2.  PROFITABILITY RATIOS</t>
  </si>
  <si>
    <t>Gross Profit Margin
((Sales − Material Cost) ÷ Sales)</t>
  </si>
  <si>
    <t>Operating Profit Margin
(Operating Profit ÷ Sales)</t>
  </si>
  <si>
    <t>Net Profit Margin
(Net Profit ÷ Sales)</t>
  </si>
  <si>
    <t>Return on Assets (ROA)
(Net Profit ÷ Total Assets)</t>
  </si>
  <si>
    <t>Return on Equity (ROE)
(Net Profit ÷ Shareholders' Equity)</t>
  </si>
  <si>
    <t>Return on Capital Employed (ROCE)
(EBIT ÷ Capital Employed)</t>
  </si>
  <si>
    <t>3.  EFFICIENCY RATIOS</t>
  </si>
  <si>
    <t>Debtors Turnover
(Sales ÷ Trade Receivables)</t>
  </si>
  <si>
    <t>Asset Turnover
(Sales ÷ Total Assets)</t>
  </si>
  <si>
    <t>Working Capital Turnover
(Sales ÷ Working Capital)</t>
  </si>
  <si>
    <t>4.  SOLVENCY RATIOS</t>
  </si>
  <si>
    <t>Debt-Equity Ratio
(Borrowings ÷ Shareholders' Equity)</t>
  </si>
  <si>
    <t>Interest Coverage Ratio
(EBIT ÷ Interest Expense)</t>
  </si>
  <si>
    <t>Debt Service Coverage Ratio (approx.)
(Cash from Operations ÷ Interest Expense)</t>
  </si>
  <si>
    <t>5.  MARKET RATIOS</t>
  </si>
  <si>
    <t>Earnings Per Share (EPS)
(Net Profit ÷ Weighted Avg. Shares)</t>
  </si>
  <si>
    <t>Price-to-Earnings (P/E) Ratio
(Market Price ÷ EPS)</t>
  </si>
  <si>
    <t>Dividend Payout Ratio
(Dividend Paid ÷ Net Profit)</t>
  </si>
  <si>
    <t>Book Value per Share (BVPS)
(Shareholders' Equity ÷ Shares Outstanding)</t>
  </si>
  <si>
    <t>Inventory Turnover
(COGS ÷ Inventory)</t>
  </si>
  <si>
    <t>1.  RAW INPUT VARIABLES</t>
  </si>
  <si>
    <t>Particulars</t>
  </si>
  <si>
    <t>Net Sales</t>
  </si>
  <si>
    <t>Trade Receivables</t>
  </si>
  <si>
    <t>Gross Profit (Sales − Material Cost)</t>
  </si>
  <si>
    <t>Total Assets</t>
  </si>
  <si>
    <t>Current Assets (proxy: Other Assets)</t>
  </si>
  <si>
    <t>Net PP&amp;E (Net Block + CWIP)</t>
  </si>
  <si>
    <t>Securities (Investments)</t>
  </si>
  <si>
    <t>Current Liabilities (proxy: Other Liabilities)</t>
  </si>
  <si>
    <t>Total Debt (proxy: Borrowings)</t>
  </si>
  <si>
    <t>SG&amp;A Expense (proxy: Employee + Selling/Admin Cost)</t>
  </si>
  <si>
    <t>Cash Flow from Operations</t>
  </si>
  <si>
    <t>2.  BENEISH INDEX COMPONENTS  (Year-on-Year, FY18 → FY26)</t>
  </si>
  <si>
    <t>DSRI — Days' Sales in Receivables Index</t>
  </si>
  <si>
    <t>GMI — Gross Margin Index</t>
  </si>
  <si>
    <t>AQI — Asset Quality Index (held at 1.00, see Notes)</t>
  </si>
  <si>
    <t>SGI — Sales Growth Index</t>
  </si>
  <si>
    <t>DEPI — Depreciation Index</t>
  </si>
  <si>
    <t>SGAI — SG&amp;A Expense Index</t>
  </si>
  <si>
    <t>LVGI — Leverage Index</t>
  </si>
  <si>
    <t>TATA — Total Accruals to Total Assets</t>
  </si>
  <si>
    <t>3.  M-SCORE &amp; CLASSIFICATION</t>
  </si>
  <si>
    <t>M-SCORE</t>
  </si>
  <si>
    <t>* Asset Quality Index (AQI) cannot be computed under its standard definition here because the source balance sheet has no residual 'other non-current/intangible assets' line distinct from PP&amp;E, Investments and Current Assets — CA + PP&amp;E + Securities always equals Total Assets exactly in this dataset, making the formula 0÷0. AQI is therefore held at the neutral value 1.00 in every year; this is a conservative simplification, not a computed result.</t>
  </si>
  <si>
    <t>Classification (M-score &gt; −1.78 = Low Risk)</t>
  </si>
  <si>
    <t>1.  COMMON SIZE STATEMENT — PROFIT &amp; LOSS ACCOUNT  (Base = Net Sales = 100%)</t>
  </si>
  <si>
    <t>2.  COMMON SIZE STATEMENT — BALANCE SHEET  (Base = Total Assets / Total Liabilities = 100%)</t>
  </si>
  <si>
    <t>Equity &amp; Liabilities</t>
  </si>
  <si>
    <t>Reserves &amp; Surplus</t>
  </si>
  <si>
    <t>Total Equity &amp; Liabilities</t>
  </si>
  <si>
    <t>Assets</t>
  </si>
  <si>
    <t>Capital Work-in-Progress</t>
  </si>
  <si>
    <t xml:space="preserve">  </t>
  </si>
  <si>
    <t>1.  COMPARATIVE STATEMENT — PROFIT &amp; LOSS ACCOUNT</t>
  </si>
  <si>
    <t>Absolute Figures (₹ Crore)</t>
  </si>
  <si>
    <t>Increase / (Decrease) over Previous Year (₹ Crore)</t>
  </si>
  <si>
    <t>FY18 vs FY17</t>
  </si>
  <si>
    <t>FY19 vs FY18</t>
  </si>
  <si>
    <t>FY20 vs FY19</t>
  </si>
  <si>
    <t>FY21 vs FY20</t>
  </si>
  <si>
    <t>FY22 vs FY21</t>
  </si>
  <si>
    <t>FY23 vs FY22</t>
  </si>
  <si>
    <t>FY24 vs FY23</t>
  </si>
  <si>
    <t>FY25 vs FY24</t>
  </si>
  <si>
    <t>FY26 vs FY25</t>
  </si>
  <si>
    <t>Increase / (Decrease) over Previous Year (%)</t>
  </si>
  <si>
    <t>2.  COMPARATIVE STATEMENT — BALANCE SHEET</t>
  </si>
  <si>
    <t>Driver</t>
  </si>
  <si>
    <t>FY2027E</t>
  </si>
  <si>
    <t>FY2028E</t>
  </si>
  <si>
    <t>FY2029E</t>
  </si>
  <si>
    <t>FY2030E</t>
  </si>
  <si>
    <t>FY2031E</t>
  </si>
  <si>
    <t>Revenue Growth %</t>
  </si>
  <si>
    <t>Operating Profit Margin (EBIT) %</t>
  </si>
  <si>
    <t>Effective Tax Rate %</t>
  </si>
  <si>
    <t>D&amp;A as % of Revenue</t>
  </si>
  <si>
    <t>Capex as % of Revenue</t>
  </si>
  <si>
    <t>Net Working Capital as % of Revenue</t>
  </si>
  <si>
    <t>Terminal Growth Rate (g)</t>
  </si>
  <si>
    <t>WACC</t>
  </si>
  <si>
    <t>EBIT (Operating Profit)</t>
  </si>
  <si>
    <t>Tax on EBIT</t>
  </si>
  <si>
    <t>NOPAT</t>
  </si>
  <si>
    <t>Net Working Capital</t>
  </si>
  <si>
    <t>Increase / (Decrease) in NWC</t>
  </si>
  <si>
    <t>Capital Expenditure (Capex)</t>
  </si>
  <si>
    <t>Opening Net PP&amp;E</t>
  </si>
  <si>
    <t>Closing Net PP&amp;E</t>
  </si>
  <si>
    <t>(+) D&amp;A</t>
  </si>
  <si>
    <t>(-) Capex</t>
  </si>
  <si>
    <t>(-) Increase in NWC</t>
  </si>
  <si>
    <t>FCFF</t>
  </si>
  <si>
    <t>Discount Period (n)</t>
  </si>
  <si>
    <t>Discount Factor @ WACC</t>
  </si>
  <si>
    <t>PV of FCFF</t>
  </si>
  <si>
    <t>PV of Terminal Value</t>
  </si>
  <si>
    <t>Shares Outstanding (Crore)</t>
  </si>
  <si>
    <t>Implied Upside / (Downside) vs CMP</t>
  </si>
  <si>
    <t>Note</t>
  </si>
  <si>
    <t>Hindustan Unilever Ltd. - Discounted Cash Flow (DCF) Valuation</t>
  </si>
  <si>
    <t>All figures in Rs. crore unless stated otherwise. Figures in blue are inputs; figures in black are calculated. Base year (FY2026) data is linked to the Profit &amp; Loss and Balance Sheet worksheets.</t>
  </si>
  <si>
    <t>1. Assumptions and Drivers</t>
  </si>
  <si>
    <t>2. Capital Structure and Cost of Capital (WACC)</t>
  </si>
  <si>
    <t>3. Projected Income Statement</t>
  </si>
  <si>
    <t>4. Working Capital and Fixed Asset Schedule</t>
  </si>
  <si>
    <t>5. Free Cash Flow to the Firm (FCFF)</t>
  </si>
  <si>
    <t>6. Valuation Summary</t>
  </si>
  <si>
    <t>7. Sensitivity Analysis: Implied Share Price (Rs.)</t>
  </si>
  <si>
    <t>WACC \ Terminal Growth (g)</t>
  </si>
  <si>
    <t>Depreciation and Amortisation (D&amp;A)</t>
  </si>
  <si>
    <t>Sum of PV of Explicit Period FCFF (FY2027E to FY2031E)</t>
  </si>
  <si>
    <t>Add: Cash and Short-Term Investments (FY2026)</t>
  </si>
  <si>
    <t>Current Market Price (Rs., 30-Jul-2026)</t>
  </si>
  <si>
    <t>Implied Value per Share (Rs.)</t>
  </si>
  <si>
    <t>Less: Total Debt (FY2026)</t>
  </si>
  <si>
    <t>Terminal Value (as at end of FY2031E)</t>
  </si>
  <si>
    <t>Note 1</t>
  </si>
  <si>
    <t>Basis of Assumption</t>
  </si>
  <si>
    <t>Tapering from recent momentum of 8 to 10 per cent towards long run FMCG industry growth</t>
  </si>
  <si>
    <t>Five year historical average operating margin of 23.3 to 24.5 per cent, held constant</t>
  </si>
  <si>
    <t>Normalised rate; excludes the one-off rate of 17 per cent in FY2026 arising from the divestment</t>
  </si>
  <si>
    <t>FY2026 actual: 1,333 / 64,468 = 2.07 per cent</t>
  </si>
  <si>
    <t>Marginally above D&amp;A to reflect premiumisation led capacity addition</t>
  </si>
  <si>
    <t>FY2026 actual: NWC 3,472 / Revenue 64,468 = 5.4 per cent</t>
  </si>
  <si>
    <t>Long run growth assumption linked to nominal GDP growth in India</t>
  </si>
  <si>
    <t>India 10 year G-Sec yield, July 2026</t>
  </si>
  <si>
    <t>Blended estimate; reported betas range from 0.3 to 0.9 depending on source and period</t>
  </si>
  <si>
    <t>Equity risk premium for India, commonly taken at 6 to 7 per cent</t>
  </si>
  <si>
    <t>Face value of Rs. 1 per share, hence shares in crore equal equity share capital in Rs. crore</t>
  </si>
  <si>
    <t>Hindustan Unilever Limited</t>
  </si>
  <si>
    <t>Fast Moving Consumer Goods | NSE: HINDUNILVR | BSE: 500696</t>
  </si>
  <si>
    <t>Project Details</t>
  </si>
  <si>
    <t>Submitted by</t>
  </si>
  <si>
    <t>Submitted to</t>
  </si>
  <si>
    <t>Programme and Section</t>
  </si>
  <si>
    <t>Date of submission</t>
  </si>
  <si>
    <t>Period of analysis</t>
  </si>
  <si>
    <t>FY2017 to FY2026 (ten financial years)</t>
  </si>
  <si>
    <t>Projection period</t>
  </si>
  <si>
    <t>FY2027E to FY2031E (five years), with a terminal value thereafter</t>
  </si>
  <si>
    <t>Reporting currency and units</t>
  </si>
  <si>
    <t>Indian Rupees in crore, unless stated otherwise</t>
  </si>
  <si>
    <t>Sources of data</t>
  </si>
  <si>
    <t>Audited annual reports of Hindustan Unilever Ltd., Screener.in and NSE market data</t>
  </si>
  <si>
    <t>Contents</t>
  </si>
  <si>
    <t>Worksheet</t>
  </si>
  <si>
    <t>Purpose</t>
  </si>
  <si>
    <t>Assumptions Summary</t>
  </si>
  <si>
    <t>Consolidated list of every assumption used across the project, with its basis</t>
  </si>
  <si>
    <t>Profit &amp; Loss</t>
  </si>
  <si>
    <t>Reported statement of profit and loss, FY2017 to FY2026</t>
  </si>
  <si>
    <t>Balance Sheet</t>
  </si>
  <si>
    <t>Reported balance sheet, FY2017 to FY2026</t>
  </si>
  <si>
    <t>Cash Flow</t>
  </si>
  <si>
    <t>Reported cash flow statement, FY2017 to FY2026</t>
  </si>
  <si>
    <t>Quarterly results used to assess recent operating momentum</t>
  </si>
  <si>
    <t>Data Sheet</t>
  </si>
  <si>
    <t>Underlying data extract on which the analysis worksheets are built</t>
  </si>
  <si>
    <t>Cash Flow Data</t>
  </si>
  <si>
    <t>Supporting workings for the cash flow analysis</t>
  </si>
  <si>
    <t>Common Size Statement</t>
  </si>
  <si>
    <t>Vertical analysis of the profit and loss account and balance sheet</t>
  </si>
  <si>
    <t>Comparative Statement</t>
  </si>
  <si>
    <t>Horizontal (year on year) analysis of the financial statements</t>
  </si>
  <si>
    <t>Ratio analysis</t>
  </si>
  <si>
    <t>Liquidity, profitability, efficiency, solvency and market ratios</t>
  </si>
  <si>
    <t>Altman Z Score</t>
  </si>
  <si>
    <t>Assessment of financial distress and bankruptcy risk</t>
  </si>
  <si>
    <t>Beneish M-Score</t>
  </si>
  <si>
    <t>Assessment of earnings quality and the likelihood of earnings manipulation</t>
  </si>
  <si>
    <t>Data for Relative Valuation</t>
  </si>
  <si>
    <t>Peer company data used in the comparable company analysis</t>
  </si>
  <si>
    <t>Relative Valuation</t>
  </si>
  <si>
    <t>Comparable company multiples and the implied value per share</t>
  </si>
  <si>
    <t>DCF Valuation</t>
  </si>
  <si>
    <t>Free cash flow to the firm model, WACC workings and sensitivity analysis</t>
  </si>
  <si>
    <t>Key Findings</t>
  </si>
  <si>
    <t>Summary of the results of each analysis</t>
  </si>
  <si>
    <t>Recommendations</t>
  </si>
  <si>
    <t>Investment view, risks and suggested course of action</t>
  </si>
  <si>
    <t>Customization</t>
  </si>
  <si>
    <t>Settings used by the source data template</t>
  </si>
  <si>
    <t>Summary of Assumptions</t>
  </si>
  <si>
    <t>This worksheet consolidates every assumption used in the project. Values shown in this sheet are linked to the worksheets in which they are applied, so that any change made there is reflected here.</t>
  </si>
  <si>
    <t>1. Projection Assumptions (Discounted Cash Flow Model)</t>
  </si>
  <si>
    <t>Assumption</t>
  </si>
  <si>
    <t>Value</t>
  </si>
  <si>
    <t>Basis</t>
  </si>
  <si>
    <t>Explicit forecast period</t>
  </si>
  <si>
    <t>Five years</t>
  </si>
  <si>
    <t>FY2027E to FY2031E, followed by a terminal value</t>
  </si>
  <si>
    <t>Revenue growth rate</t>
  </si>
  <si>
    <t>Operating profit margin (EBIT)</t>
  </si>
  <si>
    <t>Effective tax rate</t>
  </si>
  <si>
    <t>Depreciation and amortisation, as a percentage of revenue</t>
  </si>
  <si>
    <t>Capital expenditure, as a percentage of revenue</t>
  </si>
  <si>
    <t>Marginally above depreciation, to reflect premiumisation led capacity addition</t>
  </si>
  <si>
    <t>Net working capital, as a percentage of revenue</t>
  </si>
  <si>
    <t>FY2026 actual: 3,472 / 64,468 = 5.4 per cent</t>
  </si>
  <si>
    <t>Terminal growth rate (g)</t>
  </si>
  <si>
    <t>2. Cost of Capital Assumptions</t>
  </si>
  <si>
    <t>Risk free rate</t>
  </si>
  <si>
    <t>Yield on the 10 year Government of India security, July 2026</t>
  </si>
  <si>
    <t>Equity beta</t>
  </si>
  <si>
    <t>Equity risk premium</t>
  </si>
  <si>
    <t>Cost of equity (Ke)</t>
  </si>
  <si>
    <t>Capital asset pricing model: Ke = Rf + Beta * ERP</t>
  </si>
  <si>
    <t>Pre-tax cost of debt</t>
  </si>
  <si>
    <t>Approximate yield on AAA rated corporate bonds; HUL is rated CRISIL AAA</t>
  </si>
  <si>
    <t>Post-tax cost of debt</t>
  </si>
  <si>
    <t>Pre-tax cost of debt adjusted for the effective tax rate</t>
  </si>
  <si>
    <t>Weight of equity</t>
  </si>
  <si>
    <t>Based on market capitalisation as at 30 July 2026 and book value of debt</t>
  </si>
  <si>
    <t>Weight of debt</t>
  </si>
  <si>
    <t>Borrowings are negligible, hence the capital structure is almost entirely equity funded</t>
  </si>
  <si>
    <t>Weighted average cost of capital (WACC)</t>
  </si>
  <si>
    <t>WACC = (We * Ke) + (Wd * Kd post-tax); tested from 8.0 to 13.0 per cent in the sensitivity analysis</t>
  </si>
  <si>
    <t>3. Assumptions Underlying the Analytical Models</t>
  </si>
  <si>
    <t>Model</t>
  </si>
  <si>
    <t>Assumption applied</t>
  </si>
  <si>
    <t>Altman Z-Score</t>
  </si>
  <si>
    <t>The original 1968 model for listed manufacturing companies is used, with weights of 1.2, 1.4, 3.3, 0.6 and 1.0. Market value of equity is taken as market capitalisation. Interpretation: above 3.00 is safe, 1.81 to 3.00 is the grey zone and below 1.81 indicates distress.</t>
  </si>
  <si>
    <t>The eight variable model is used, with a threshold of -1.78. The Asset Quality Index is held at the neutral value of 1.00 because the balance sheet does not disclose a separate other non-current asset line, which makes the standard formula indeterminate. This is a conservative simplification rather than a computed result.</t>
  </si>
  <si>
    <t>The peer set comprises ITC, Nestle India, Godrej Consumer Products and Marico, being listed Indian FMCG companies of comparable business profile. Trailing EV/Revenue, EV/EBITDA, EV/EBIT and P/E multiples are used, and the median peer multiple is applied to the corresponding financial of the company.</t>
  </si>
  <si>
    <t>Ratio Analysis</t>
  </si>
  <si>
    <t>Ratios are computed on reported year end figures rather than on averages. Figures from FY2021 onward reflect the merger of GSK Consumer Healthcare, so the balance sheet and the ratios derived from it are not strictly comparable with the earlier years.</t>
  </si>
  <si>
    <t>Common Size and Comparative Statements</t>
  </si>
  <si>
    <t>Common size figures are expressed as a percentage of net sales for the profit and loss account and of total assets for the balance sheet. Comparative figures are stated as year on year changes in absolute and percentage terms.</t>
  </si>
  <si>
    <t>4. General Assumptions</t>
  </si>
  <si>
    <t>Financial year end</t>
  </si>
  <si>
    <t>Base year for the projections</t>
  </si>
  <si>
    <t>FY2026 (audited)</t>
  </si>
  <si>
    <t>Shares outstanding</t>
  </si>
  <si>
    <t>Market price used</t>
  </si>
  <si>
    <t>Units of presentation</t>
  </si>
  <si>
    <t>Rupees in crore, unless stated otherwise</t>
  </si>
  <si>
    <t>Treatment of one-off items</t>
  </si>
  <si>
    <t>The gain arising on divestment in FY2026 and the consequent low effective tax rate are treated as non-recurring and are excluded from the projections.</t>
  </si>
  <si>
    <t>All figures in this worksheet are linked to the analysis worksheets. Amounts are in Rs. crore unless stated otherwise.</t>
  </si>
  <si>
    <t>1. Operating Performance and Profitability</t>
  </si>
  <si>
    <t>Parameter</t>
  </si>
  <si>
    <t>FY2025</t>
  </si>
  <si>
    <t>FY2026</t>
  </si>
  <si>
    <t>Observation</t>
  </si>
  <si>
    <t>Net sales (Rs. crore)</t>
  </si>
  <si>
    <t>Net profit (Rs. crore)</t>
  </si>
  <si>
    <t>The sharp rise in FY2026 is largely attributable to a one-off divestment gain and a correspondingly low effective tax rate, and is therefore not representative of the underlying business.</t>
  </si>
  <si>
    <t>Operating profit margin</t>
  </si>
  <si>
    <t>Margins have improved steadily from 19.6 per cent in FY2017, reflecting premiumisation, cost savings and favourable input prices.</t>
  </si>
  <si>
    <t>Net profit margin</t>
  </si>
  <si>
    <t>The reported margin for FY2026 is inflated by the one-off gain; the underlying margin is closer to 17 to 18 per cent.</t>
  </si>
  <si>
    <t>Return on equity</t>
  </si>
  <si>
    <t>Return on equity fell sharply after FY2020 because the merger with GSK Consumer Healthcare added a large goodwill and equity base; it has since been rebuilt from 18.4 per cent in FY2022.</t>
  </si>
  <si>
    <t>Return on capital employed</t>
  </si>
  <si>
    <t>2. Liquidity, Efficiency and Solvency</t>
  </si>
  <si>
    <t>Current ratio</t>
  </si>
  <si>
    <t>The current ratio is below one and has declined further. This is characteristic of an FMCG business that operates on negative working capital by drawing extended credit from suppliers while selling largely on cash terms.</t>
  </si>
  <si>
    <t>Quick ratio</t>
  </si>
  <si>
    <t>Low in absolute terms, but not a concern given the strong and predictable operating cash flows and the negligible level of debt.</t>
  </si>
  <si>
    <t>Inventory turnover (times)</t>
  </si>
  <si>
    <t>Stable at about seven times over the entire period, indicating consistent inventory management.</t>
  </si>
  <si>
    <t>Debtors turnover (times)</t>
  </si>
  <si>
    <t>Debtors turnover has fallen from about 30 times in FY2017 to 18 times, showing that receivables are being collected more slowly. This is the clearest area of deterioration in working capital management.</t>
  </si>
  <si>
    <t>Debt to equity ratio</t>
  </si>
  <si>
    <t>The company is virtually debt free, which leaves substantial headroom to raise funds should an acquisition opportunity arise.</t>
  </si>
  <si>
    <t>Interest coverage (times)</t>
  </si>
  <si>
    <t>Interest cover of more than forty times means that solvency risk is negligible.</t>
  </si>
  <si>
    <t>Dividend payout ratio</t>
  </si>
  <si>
    <t>The company has consistently distributed the greater part of its earnings, which is consistent with a mature business that has limited reinvestment requirements.</t>
  </si>
  <si>
    <t>3. Earnings Quality and Financial Distress</t>
  </si>
  <si>
    <t>Test</t>
  </si>
  <si>
    <t>Result</t>
  </si>
  <si>
    <t>Interpretation</t>
  </si>
  <si>
    <t>Beneish M-Score, FY2026</t>
  </si>
  <si>
    <t>Beneish M-Score, FY2021</t>
  </si>
  <si>
    <t>FY2021 is the only year flagged as high risk. This is explained by the merger with GSK Consumer Healthcare, which distorted the sales growth, depreciation and leverage indices, rather than by any evidence of manipulation.</t>
  </si>
  <si>
    <t>Altman Z-Score, FY2026</t>
  </si>
  <si>
    <t>4. Valuation</t>
  </si>
  <si>
    <t>Method</t>
  </si>
  <si>
    <t>Implied value per share (Rs.)</t>
  </si>
  <si>
    <t>Comment</t>
  </si>
  <si>
    <t>Discounted cash flow (base case)</t>
  </si>
  <si>
    <t>Relative valuation, median EV/EBITDA</t>
  </si>
  <si>
    <t>Relative valuation, median P/E</t>
  </si>
  <si>
    <t>The peer set trades at a median price to earnings multiple higher than that of the company, which indicates undervaluation on this measure.</t>
  </si>
  <si>
    <t>Current market price</t>
  </si>
  <si>
    <t>Closing price on 30 July 2026.</t>
  </si>
  <si>
    <t>Deviation of the DCF value from the market price</t>
  </si>
  <si>
    <t>The discounted cash flow model and the market price differ materially. The difference narrows substantially at a lower beta and a higher terminal growth rate, and the balance reflects the premium the market assigns to the brand portfolio and distribution network of the company.</t>
  </si>
  <si>
    <t>5. Overall Assessment</t>
  </si>
  <si>
    <t>Based on the analysis carried out in the preceding worksheets. Figures are linked to their source worksheets.</t>
  </si>
  <si>
    <t>1. Valuation Summary and Investment View</t>
  </si>
  <si>
    <t>Premium / (discount) to market price</t>
  </si>
  <si>
    <t>Signal</t>
  </si>
  <si>
    <t>Discounted cash flow, base case</t>
  </si>
  <si>
    <t>Average of the three methods</t>
  </si>
  <si>
    <t>Recommendation</t>
  </si>
  <si>
    <t>HOLD</t>
  </si>
  <si>
    <t>Rationale</t>
  </si>
  <si>
    <t>The three valuation methods bracket the market price rather than pointing consistently in one direction, and their average is close to the price at which the share currently trades. The business is of high quality, generates returns well above its cost of capital and carries almost no debt, but the price already reflects much of that quality. Existing investors are therefore advised to hold, while fresh purchases are better made on a decline towards the discounted cash flow range, or once volume growth reaccelerates.</t>
  </si>
  <si>
    <t>2. Recommendations to Management</t>
  </si>
  <si>
    <t>Area</t>
  </si>
  <si>
    <t>Receivables management</t>
  </si>
  <si>
    <t>Debtors turnover has fallen from about thirty times in FY2017 to eighteen times in FY2026. Tighter credit terms for distributors and closer monitoring of overdue balances would release working capital and improve the cash conversion cycle.</t>
  </si>
  <si>
    <t>Revenue growth</t>
  </si>
  <si>
    <t>Growth of about five per cent is close to inflation and implies limited volume expansion. Continued investment in premium and health oriented categories, in rural distribution and in digital channels is necessary to restore mid to high single digit volume growth.</t>
  </si>
  <si>
    <t>Margin management</t>
  </si>
  <si>
    <t>Operating margins are at the upper end of their historical range. Further gains should be sought through mix improvement and cost efficiency rather than through price increases, which could weaken volumes in a competitive market.</t>
  </si>
  <si>
    <t>Capital allocation</t>
  </si>
  <si>
    <t>With negligible debt and a payout ratio of about sixty four per cent, the company has ample headroom to fund acquisitions in premium and wellness categories, which would support growth beyond the rate assumed in the terminal value.</t>
  </si>
  <si>
    <t>Disclosure</t>
  </si>
  <si>
    <t>The one-off divestment gain in FY2026 materially distorts the reported profit and the effective tax rate. Presenting a clear reconciliation of underlying and reported earnings would improve comparability for users of the financial statements.</t>
  </si>
  <si>
    <t>3. Key Risks to the Recommendation</t>
  </si>
  <si>
    <t>Risk</t>
  </si>
  <si>
    <t>Description</t>
  </si>
  <si>
    <t>Input cost inflation</t>
  </si>
  <si>
    <t>A rise in palm oil, crude derivative or tea prices would compress the operating margin of 23.5 per cent assumed throughout the projection period.</t>
  </si>
  <si>
    <t>Competitive intensity</t>
  </si>
  <si>
    <t>Regional and direct to consumer brands continue to gain share in several categories, which may limit both volume growth and pricing power.</t>
  </si>
  <si>
    <t>Rural demand</t>
  </si>
  <si>
    <t>A weak monsoon or slower rural income growth would directly affect volumes, as rural markets contribute a substantial share of revenue.</t>
  </si>
  <si>
    <t>Valuation risk</t>
  </si>
  <si>
    <t>The share trades at a price to earnings multiple well above the peer median. Any disappointment in earnings could lead to a de-rating of the multiple in addition to a fall in earnings.</t>
  </si>
  <si>
    <t>Assumption risk</t>
  </si>
  <si>
    <t>4. Limitations of the Analysis</t>
  </si>
  <si>
    <t>The analysis is based entirely on published financial statements and market data, and no management guidance or segment level internal data has been used.</t>
  </si>
  <si>
    <t>Figures from FY2021 onward include the effect of the merger with GSK Consumer Healthcare, which limits comparability with earlier years.</t>
  </si>
  <si>
    <t>The Asset Quality Index within the Beneish model is held at the neutral value of 1.00 owing to the absence of a separate other non-current asset disclosure.</t>
  </si>
  <si>
    <t>The Altman Z-Score is inflated by the market capitalisation to long term liabilities component because borrowings are negligible; the classification is nevertheless unaffected.</t>
  </si>
  <si>
    <t>The comparable company analysis uses four peers only, and no adjustment has been made for differences in size, growth or category mix.</t>
  </si>
  <si>
    <t>Implied value (Rs.)</t>
  </si>
  <si>
    <t>31 March</t>
  </si>
  <si>
    <t>PGDM - Sec A</t>
  </si>
  <si>
    <t xml:space="preserve">Group 8 </t>
  </si>
  <si>
    <t>levered Beta to Unlevered Beta = levered Beta/(1+(1-tax)*D/E)</t>
  </si>
  <si>
    <t>All figures are in INR unless stated otherwise.</t>
  </si>
  <si>
    <t>Peer Companies</t>
  </si>
  <si>
    <t>Debt/</t>
  </si>
  <si>
    <t>Levered</t>
  </si>
  <si>
    <t>Unlevered</t>
  </si>
  <si>
    <t>Name of the Company</t>
  </si>
  <si>
    <t>Country</t>
  </si>
  <si>
    <t>Total debt</t>
  </si>
  <si>
    <t>Total Equity</t>
  </si>
  <si>
    <r>
      <t xml:space="preserve">Tax Rate </t>
    </r>
    <r>
      <rPr>
        <vertAlign val="superscript"/>
        <sz val="11"/>
        <color theme="1"/>
        <rFont val="Calibri"/>
        <family val="2"/>
        <scheme val="minor"/>
      </rPr>
      <t>1</t>
    </r>
  </si>
  <si>
    <t>Equity</t>
  </si>
  <si>
    <t>Capital</t>
  </si>
  <si>
    <r>
      <t>Beta</t>
    </r>
    <r>
      <rPr>
        <vertAlign val="superscript"/>
        <sz val="11"/>
        <color theme="1"/>
        <rFont val="Calibri"/>
        <family val="2"/>
        <scheme val="minor"/>
      </rPr>
      <t xml:space="preserve"> 2</t>
    </r>
  </si>
  <si>
    <r>
      <t>Beta</t>
    </r>
    <r>
      <rPr>
        <vertAlign val="superscript"/>
        <sz val="11"/>
        <color theme="1"/>
        <rFont val="Calibri"/>
        <family val="2"/>
        <scheme val="minor"/>
      </rPr>
      <t>3</t>
    </r>
  </si>
  <si>
    <t>India</t>
  </si>
  <si>
    <t>Use this unlevered beta (INDUSTRY MED.)</t>
  </si>
  <si>
    <t>Cost of Debt</t>
  </si>
  <si>
    <t>Cost of Equity</t>
  </si>
  <si>
    <t>10 Y Govt. Bond</t>
  </si>
  <si>
    <t>Pre- Tax Cost of Debt</t>
  </si>
  <si>
    <t>Risk Free Rate</t>
  </si>
  <si>
    <t>Tax Rate</t>
  </si>
  <si>
    <t>Equity Risk Premium</t>
  </si>
  <si>
    <t>Post Tax Cost of Debt</t>
  </si>
  <si>
    <r>
      <t xml:space="preserve">Levered Beta </t>
    </r>
    <r>
      <rPr>
        <vertAlign val="superscript"/>
        <sz val="11"/>
        <color theme="1"/>
        <rFont val="Calibri"/>
        <family val="2"/>
        <scheme val="minor"/>
      </rPr>
      <t>4</t>
    </r>
  </si>
  <si>
    <t>Capital Structure</t>
  </si>
  <si>
    <t>Levered Beta</t>
  </si>
  <si>
    <t>Current</t>
  </si>
  <si>
    <t>Target</t>
  </si>
  <si>
    <t>Comps Median Unlevered Beta</t>
  </si>
  <si>
    <t>Total Debt</t>
  </si>
  <si>
    <t>Target Debt / Equity</t>
  </si>
  <si>
    <t>Total Capital</t>
  </si>
  <si>
    <t>Debt/Equity</t>
  </si>
  <si>
    <t>Weighted Average Cost of Capital</t>
  </si>
  <si>
    <t>Total Cost</t>
  </si>
  <si>
    <t>Total Weight</t>
  </si>
  <si>
    <t>Debt</t>
  </si>
  <si>
    <t>Nifty 50 Weekly Return</t>
  </si>
  <si>
    <t>Beta Drifting</t>
  </si>
  <si>
    <t>Beta 1</t>
  </si>
  <si>
    <t>Date</t>
  </si>
  <si>
    <t>Weekly Return</t>
  </si>
  <si>
    <t>Levered Raw Beta</t>
  </si>
  <si>
    <t>Beta 2</t>
  </si>
  <si>
    <t>Raw Beta Weight</t>
  </si>
  <si>
    <t>Market Beta</t>
  </si>
  <si>
    <t>Market Beta weight</t>
  </si>
  <si>
    <t>Adjusted Levered Beta</t>
  </si>
  <si>
    <t>Adjusted beta = it will move towards 1</t>
  </si>
  <si>
    <t>HUL Weekly Returns</t>
  </si>
  <si>
    <t>-</t>
  </si>
  <si>
    <t>Nestle</t>
  </si>
  <si>
    <t>Godrej</t>
  </si>
  <si>
    <t xml:space="preserve"> Company</t>
  </si>
  <si>
    <t>Raw Beta</t>
  </si>
  <si>
    <t>(Beta will Move towards One)</t>
  </si>
  <si>
    <t>Leverage Raw Beta weight</t>
  </si>
  <si>
    <t>Market Weight</t>
  </si>
  <si>
    <t>Adjusted Beta</t>
  </si>
  <si>
    <t>Country Risk</t>
  </si>
  <si>
    <t>Net Profit</t>
  </si>
  <si>
    <t>Return on Equity (ROE)</t>
  </si>
  <si>
    <t>Average Shareholder Equity</t>
  </si>
  <si>
    <t>ROE - Dupont Equation</t>
  </si>
  <si>
    <t>Net Profit Margin (A)</t>
  </si>
  <si>
    <t>Average Total Asset</t>
  </si>
  <si>
    <t>Asset Turnover Ratio (B)</t>
  </si>
  <si>
    <t xml:space="preserve"> Equity Multiplier (C)</t>
  </si>
  <si>
    <t>Return on Equity (A*B*C)</t>
  </si>
  <si>
    <t>Return on Asset (ROA)</t>
  </si>
  <si>
    <t>ROA - Dupont Equation</t>
  </si>
  <si>
    <t>Return on Asset (A*B)</t>
  </si>
  <si>
    <t>Equity risk premium for India, taken from ERP sheet</t>
  </si>
  <si>
    <t>Damodaran's country spread estimate</t>
  </si>
  <si>
    <t>Interest Payment / Borrowings (FY26)</t>
  </si>
  <si>
    <t>Assuming slight increase in debt</t>
  </si>
  <si>
    <t>2026A</t>
  </si>
  <si>
    <t>2027F</t>
  </si>
  <si>
    <t>Financial Statement Analysis &amp; Valuation (FSAV)</t>
  </si>
  <si>
    <t>Term Project</t>
  </si>
  <si>
    <t>Dr. Kunal Saigal and Dr. Kriti Sharma</t>
  </si>
  <si>
    <t>Hindustan Unilever Ltd. — Financial Dashboard</t>
  </si>
  <si>
    <t>Key Metrics &amp; Trend Analysis | FY2017–FY2026 | Rs. crore unless stated otherwise</t>
  </si>
  <si>
    <t>KEY METRICS — FY2026</t>
  </si>
  <si>
    <t>CHARTS</t>
  </si>
  <si>
    <t>CHART SOURCE DATA — feeds the charts above, do not delete</t>
  </si>
  <si>
    <t>Revenue (Rs. cr)</t>
  </si>
  <si>
    <t>Net Profit (Rs. cr)</t>
  </si>
  <si>
    <t>Net Profit Margin</t>
  </si>
  <si>
    <t>EPS (Rs.)</t>
  </si>
  <si>
    <t>P/E Ratio (x)</t>
  </si>
  <si>
    <t>Year</t>
  </si>
  <si>
    <t>Operating Profit Margin</t>
  </si>
  <si>
    <t>ROA</t>
  </si>
  <si>
    <t>ROE</t>
  </si>
  <si>
    <t>ROCE</t>
  </si>
  <si>
    <t>Current Ratio</t>
  </si>
  <si>
    <t>Quick Ratio</t>
  </si>
  <si>
    <t>Debt-Equity Ratio</t>
  </si>
  <si>
    <t>Shareholders' Equity</t>
  </si>
  <si>
    <t>FCFF (Rs. cr)</t>
  </si>
  <si>
    <t>EV/EBITDA (FY26A)</t>
  </si>
  <si>
    <t>Each cell re-discounts the base case FCFF stream from Section 5 together with the terminal value, using the WACC shown in the row and the terminal growth rate shown in the column. The underlying cash flow projections remain unchanged. The base case (current WACC, g 6.0 per cent) is shaded.</t>
  </si>
  <si>
    <t>Equity Risk Premium (ERP) Calculation — India</t>
  </si>
  <si>
    <t>All figures follow Damodaran's country-risk methodology. Figures in blue are inputs (sourced externally); figures in black are calculated.</t>
  </si>
  <si>
    <t>1. Mature Market Equity Risk Premium</t>
  </si>
  <si>
    <t>Implied Equity Risk Premium – S&amp;P 500 (Jul 2026)</t>
  </si>
  <si>
    <t>Less: US Sovereign Default Spread (Aa1 rating)</t>
  </si>
  <si>
    <t>Mature Market Equity Risk Premium</t>
  </si>
  <si>
    <t>2. India Country Risk Premium</t>
  </si>
  <si>
    <t>Total Equity Risk Premium – India (Jul 2026)</t>
  </si>
  <si>
    <t>Less: Mature Market Equity Risk Premium</t>
  </si>
  <si>
    <t>Implied India Country Risk Premium</t>
  </si>
  <si>
    <t>3. Equity Risk Premium for India (used in WACC)</t>
  </si>
  <si>
    <t>Add: India Country Risk Premium</t>
  </si>
  <si>
    <t>Equity Risk Premium for India</t>
  </si>
  <si>
    <t>This figure feeds WACC!K22 (Equity Risk Premium) and DCF Valuation!C21.</t>
  </si>
  <si>
    <t>REVENUE (RS. CR)</t>
  </si>
  <si>
    <t>NET PROFIT (RS. CR)</t>
  </si>
  <si>
    <t>NET PROFIT MARGIN</t>
  </si>
  <si>
    <t>RETURN ON EQUITY</t>
  </si>
  <si>
    <t>EPS (RS.)</t>
  </si>
  <si>
    <t>P/E RATIO (X)</t>
  </si>
  <si>
    <t>CURRENT RATIO (X)</t>
  </si>
  <si>
    <t>DEBT-EQUITY (X)</t>
  </si>
  <si>
    <t>Returns remain well above the cost of capital of about 9.9 per cent, confirming that the company continues to create economic value.</t>
  </si>
  <si>
    <t>Based on a WACC of 9.9 per cent and a terminal growth rate of 6.0 per cent. The value is highly sensitive to both inputs, as shown in the sensitivity table on the DCF worksheet.</t>
  </si>
  <si>
    <t>Applying the median peer multiple indicates a material undervaluation against the market price.</t>
  </si>
  <si>
    <t>Hindustan Unilever remains a financially sound business. Profitability and returns on capital employed are comfortably above the cost of capital, the balance sheet carries almost no debt, and both the Altman Z-Score and the Beneish M-Score indicate that the risk of financial distress and of earnings manipulation is low. The principal areas of weakness are the slower collection of receivables, the persistently negative working capital position and the moderation in revenue growth compared with the earlier part of the period under review. On valuation, the comparable company analysis indicates the share is undervalued against its peers on both an EV/EBITDA and a price-to-earnings basis, while the discounted cash flow model indicates a value materially below the prevailing market price; the blended average across all three methods nevertheless sits close to the current market price. The difference across methods is driven mainly by the beta and terminal growth assumptions used in the DCF and by the premium that the market assigns to the brand portfolio and distribution reach of the company.</t>
  </si>
  <si>
    <t>The discounted cash flow value moves from roughly Rs. 950 to Rs. 2,740 per share across the range of WACC and terminal growth rates tested, so the conclusion drawn from that model is sensitive to the inputs selected.</t>
  </si>
  <si>
    <t>Mid year convention</t>
  </si>
  <si>
    <t>The score is above the safe zone threshold of 3.00 in every year examined — comfortably so from FY2022 to FY2026, and only marginally in FY2020 and FY2021 — so the risk of financial distress is negligible throughout. The absolute value in the later years is inflated because the market capitalisation to long term liabilities component becomes very large when borrowings are near zero; the conclusion, however, is unaffected.</t>
  </si>
  <si>
    <t>The valuation represents a base case and is directly dependent on the stated assumptions for revenue growth, operating margin, WACC and terminal growth. The terminal value accounts for approximately 84 per cent of the enterprise value (Section 6), so the conclusion is particularly sensitive to the terminal growth and WACC assumptions; it should therefore be read alongside the Relative Valuation worksheet rather than in isolation.</t>
  </si>
  <si>
    <t>Total Liabilites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</si>
</sst>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_(* \(#,##0.00\);_(* &quot;-&quot;??_);_(@_)"/>
    <numFmt numFmtId="164" formatCode="_ * #,##0.00_ ;_ * \-#,##0.00_ ;_ * &quot;-&quot;??_ ;_ @_ "/>
    <numFmt numFmtId="165" formatCode="[$-409]mmm\-yy;@"/>
    <numFmt numFmtId="166" formatCode="0.0%"/>
    <numFmt numFmtId="167" formatCode="0\ &quot;x&quot;"/>
    <numFmt numFmtId="168" formatCode="0.0"/>
    <numFmt numFmtId="169" formatCode="[$-F400]h:mm:ss\ AM/PM"/>
    <numFmt numFmtId="170" formatCode="&quot;₹&quot;\ #,##0.0"/>
    <numFmt numFmtId="171" formatCode="0.00\x"/>
    <numFmt numFmtId="172" formatCode="\₹#,##0.00"/>
    <numFmt numFmtId="173" formatCode="0.000"/>
    <numFmt numFmtId="174" formatCode="0.0%;\(0.0%\)"/>
    <numFmt numFmtId="175" formatCode="&quot;₹&quot;\ #,##0.0;\(&quot;₹&quot;\ #,##0.0\)"/>
    <numFmt numFmtId="176" formatCode="#,##0;\(#,##0\)"/>
    <numFmt numFmtId="177" formatCode="#,##0.00;\(#,##0.00\)"/>
    <numFmt numFmtId="178" formatCode="&quot;₹&quot;\ #,##0.00;&quot;₹&quot;\ \(#,##0.00\)"/>
    <numFmt numFmtId="179" formatCode="&quot;₹&quot;\ #,##0;&quot;₹&quot;\ \(#,##0\)"/>
    <numFmt numFmtId="180" formatCode="_(* #,##0.00_);_(* \(#,##0.00\);_(* \-??_);_(@_)"/>
    <numFmt numFmtId="181" formatCode="&quot;₹ &quot;#,##0.0"/>
    <numFmt numFmtId="182" formatCode="0.0&quot;x&quot;"/>
    <numFmt numFmtId="183" formatCode="0.00&quot;x&quot;"/>
  </numFmts>
  <fonts count="91"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sz val="11"/>
      <color rgb="FFFF0000"/>
      <name val="Calibri"/>
      <family val="2"/>
      <scheme val="minor"/>
    </font>
    <font>
      <sz val="11"/>
      <name val="Calibri"/>
      <family val="2"/>
      <scheme val="minor"/>
    </font>
    <font>
      <b/>
      <i/>
      <sz val="11"/>
      <color theme="1"/>
      <name val="Calibri"/>
      <family val="2"/>
      <scheme val="minor"/>
    </font>
    <font>
      <sz val="11"/>
      <color theme="5"/>
      <name val="Calibri"/>
      <family val="2"/>
      <scheme val="minor"/>
    </font>
    <font>
      <i/>
      <sz val="11"/>
      <color theme="1"/>
      <name val="Calibri"/>
      <family val="2"/>
      <scheme val="minor"/>
    </font>
    <font>
      <sz val="18"/>
      <color rgb="FF22222F"/>
      <name val="Arial"/>
      <family val="2"/>
    </font>
    <font>
      <sz val="11"/>
      <color rgb="FF606F7B"/>
      <name val="Arial"/>
      <family val="2"/>
    </font>
    <font>
      <sz val="11"/>
      <color theme="1"/>
      <name val="Arial"/>
      <family val="2"/>
    </font>
    <font>
      <sz val="11"/>
      <color rgb="FF665EFD"/>
      <name val="Arial"/>
      <family val="2"/>
    </font>
    <font>
      <sz val="11"/>
      <color theme="1"/>
      <name val="Arial"/>
      <family val="2"/>
    </font>
    <font>
      <sz val="11"/>
      <color rgb="FF606F7B"/>
      <name val="Arial"/>
      <family val="2"/>
    </font>
    <font>
      <b/>
      <sz val="10.5"/>
      <color rgb="FFFFFFFF"/>
      <name val="Calibri"/>
      <family val="2"/>
    </font>
    <font>
      <b/>
      <sz val="11"/>
      <color rgb="FFFFFFFF"/>
      <name val="Calibri"/>
      <family val="2"/>
    </font>
    <font>
      <b/>
      <sz val="10.5"/>
      <color rgb="FF1F3864"/>
      <name val="Calibri"/>
      <family val="2"/>
    </font>
    <font>
      <sz val="10.5"/>
      <color rgb="FF262626"/>
      <name val="Calibri"/>
      <family val="2"/>
    </font>
    <font>
      <b/>
      <sz val="11"/>
      <color rgb="FFFFFFFF"/>
      <name val="Calibri"/>
      <family val="2"/>
    </font>
    <font>
      <b/>
      <sz val="10.5"/>
      <color rgb="FFFFFFFF"/>
      <name val="Calibri"/>
      <family val="2"/>
    </font>
    <font>
      <sz val="10.5"/>
      <color rgb="FF262626"/>
      <name val="Calibri"/>
      <family val="2"/>
    </font>
    <font>
      <b/>
      <sz val="10.5"/>
      <color rgb="FF1F3864"/>
      <name val="Calibri"/>
      <family val="2"/>
    </font>
    <font>
      <b/>
      <sz val="11"/>
      <color rgb="FF262626"/>
      <name val="Calibri"/>
      <family val="2"/>
    </font>
    <font>
      <i/>
      <sz val="9.5"/>
      <color rgb="FF595959"/>
      <name val="Calibri"/>
      <family val="2"/>
    </font>
    <font>
      <b/>
      <sz val="10"/>
      <color rgb="FF1F3864"/>
      <name val="Calibri"/>
      <family val="2"/>
    </font>
    <font>
      <b/>
      <sz val="10.5"/>
      <color rgb="FF262626"/>
      <name val="Calibri"/>
      <family val="2"/>
    </font>
    <font>
      <b/>
      <sz val="10"/>
      <color rgb="FF1F3864"/>
      <name val="Calibri"/>
      <family val="2"/>
    </font>
    <font>
      <sz val="11"/>
      <color theme="1"/>
      <name val="Calibri"/>
      <family val="2"/>
      <charset val="1"/>
    </font>
    <font>
      <b/>
      <sz val="10"/>
      <name val="Arial"/>
      <family val="2"/>
    </font>
    <font>
      <sz val="10"/>
      <color rgb="FF000000"/>
      <name val="Arial"/>
      <family val="2"/>
    </font>
    <font>
      <sz val="10"/>
      <color rgb="FF0000FF"/>
      <name val="Arial"/>
      <family val="2"/>
    </font>
    <font>
      <sz val="10"/>
      <color theme="1"/>
      <name val="Arial"/>
      <family val="2"/>
    </font>
    <font>
      <i/>
      <sz val="9"/>
      <color rgb="FF595959"/>
      <name val="Arial"/>
      <family val="2"/>
    </font>
    <font>
      <b/>
      <sz val="10"/>
      <color theme="1"/>
      <name val="Arial"/>
      <family val="2"/>
    </font>
    <font>
      <b/>
      <sz val="10"/>
      <color rgb="FF000000"/>
      <name val="Arial"/>
      <family val="2"/>
    </font>
    <font>
      <b/>
      <i/>
      <sz val="9"/>
      <color rgb="FF595959"/>
      <name val="Arial"/>
      <family val="2"/>
    </font>
    <font>
      <b/>
      <sz val="9"/>
      <color rgb="FF000000"/>
      <name val="Arial"/>
      <family val="2"/>
    </font>
    <font>
      <sz val="10"/>
      <color rgb="FF000000"/>
      <name val="Arial"/>
    </font>
    <font>
      <b/>
      <sz val="13"/>
      <color rgb="FF000000"/>
      <name val="Arial"/>
    </font>
    <font>
      <i/>
      <sz val="9"/>
      <color rgb="FF595959"/>
      <name val="Arial"/>
    </font>
    <font>
      <i/>
      <sz val="10"/>
      <color rgb="FF595959"/>
      <name val="Arial"/>
    </font>
    <font>
      <b/>
      <sz val="10"/>
      <color rgb="FF000000"/>
      <name val="Arial"/>
    </font>
    <font>
      <sz val="10"/>
      <color rgb="FF0000FF"/>
      <name val="Arial"/>
    </font>
    <font>
      <b/>
      <i/>
      <sz val="9"/>
      <color rgb="FF595959"/>
      <name val="Arial"/>
    </font>
    <font>
      <b/>
      <sz val="12"/>
      <color rgb="FF000000"/>
      <name val="Arial"/>
    </font>
    <font>
      <vertAlign val="superscript"/>
      <sz val="11"/>
      <color theme="1"/>
      <name val="Calibri"/>
      <family val="2"/>
      <scheme val="minor"/>
    </font>
    <font>
      <b/>
      <sz val="11"/>
      <color rgb="FF0275D8"/>
      <name val="Calibri"/>
      <family val="2"/>
      <scheme val="minor"/>
    </font>
    <font>
      <sz val="11"/>
      <color rgb="FF0275D8"/>
      <name val="Calibri"/>
      <family val="2"/>
      <scheme val="minor"/>
    </font>
    <font>
      <sz val="11"/>
      <color theme="4"/>
      <name val="Calibri"/>
      <family val="2"/>
      <scheme val="minor"/>
    </font>
    <font>
      <sz val="11"/>
      <color rgb="FF22222F"/>
      <name val="Calibri"/>
      <family val="2"/>
      <scheme val="minor"/>
    </font>
    <font>
      <sz val="11"/>
      <color theme="2" tint="-0.499984740745262"/>
      <name val="Calibri"/>
      <family val="2"/>
      <scheme val="minor"/>
    </font>
    <font>
      <sz val="11"/>
      <color rgb="FF00B0F0"/>
      <name val="Calibri"/>
      <family val="2"/>
      <scheme val="minor"/>
    </font>
    <font>
      <sz val="11"/>
      <color theme="0"/>
      <name val="Calibri"/>
      <family val="2"/>
      <charset val="1"/>
    </font>
    <font>
      <u/>
      <sz val="11"/>
      <color theme="10"/>
      <name val="Calibri"/>
      <family val="2"/>
      <charset val="1"/>
    </font>
    <font>
      <sz val="11"/>
      <color rgb="FF0000FF"/>
      <name val="Calibri"/>
      <charset val="1"/>
    </font>
    <font>
      <b/>
      <sz val="11"/>
      <color rgb="FF0000FF"/>
      <name val="Calibri"/>
      <family val="2"/>
    </font>
    <font>
      <sz val="11"/>
      <color rgb="FF0000FF"/>
      <name val="Calibri"/>
      <family val="2"/>
    </font>
    <font>
      <b/>
      <i/>
      <sz val="11"/>
      <color rgb="FF00B050"/>
      <name val="Calibri"/>
      <family val="2"/>
      <scheme val="minor"/>
    </font>
    <font>
      <b/>
      <sz val="14"/>
      <color rgb="FF1B2A63"/>
      <name val="Arial"/>
    </font>
    <font>
      <b/>
      <sz val="18"/>
      <color rgb="FF1B2A63"/>
      <name val="Arial"/>
    </font>
    <font>
      <b/>
      <sz val="10"/>
      <color rgb="FF1B2A63"/>
      <name val="Arial"/>
    </font>
    <font>
      <b/>
      <sz val="13"/>
      <color rgb="FF1B2A63"/>
      <name val="Arial"/>
      <family val="2"/>
    </font>
    <font>
      <b/>
      <sz val="10"/>
      <color rgb="FF1B2A63"/>
      <name val="Arial"/>
      <family val="2"/>
    </font>
    <font>
      <b/>
      <sz val="11"/>
      <color theme="1"/>
      <name val="Arial"/>
      <family val="2"/>
    </font>
    <font>
      <b/>
      <i/>
      <sz val="9"/>
      <color rgb="FF1B2A63"/>
      <name val="Arial"/>
      <family val="2"/>
    </font>
    <font>
      <b/>
      <sz val="11"/>
      <color rgb="FFFFFFFF"/>
      <name val="Calibri"/>
      <scheme val="minor"/>
    </font>
    <font>
      <b/>
      <sz val="10.5"/>
      <color rgb="FFFFFFFF"/>
      <name val="Calibri"/>
      <scheme val="minor"/>
    </font>
    <font>
      <sz val="10.5"/>
      <color rgb="FF262626"/>
      <name val="Calibri"/>
      <scheme val="minor"/>
    </font>
    <font>
      <b/>
      <sz val="10.5"/>
      <color rgb="FF1F3864"/>
      <name val="Calibri"/>
      <scheme val="minor"/>
    </font>
    <font>
      <b/>
      <sz val="10.5"/>
      <color rgb="FF1E6B34"/>
      <name val="Calibri"/>
      <scheme val="minor"/>
    </font>
    <font>
      <b/>
      <sz val="11"/>
      <color rgb="FF262626"/>
      <name val="Calibri"/>
      <scheme val="minor"/>
    </font>
    <font>
      <b/>
      <i/>
      <sz val="10.5"/>
      <color rgb="FF262626"/>
      <name val="Calibri"/>
      <scheme val="minor"/>
    </font>
    <font>
      <i/>
      <sz val="9.5"/>
      <color rgb="FF595959"/>
      <name val="Calibri"/>
      <scheme val="minor"/>
    </font>
    <font>
      <i/>
      <sz val="9.5"/>
      <color rgb="FF000000"/>
      <name val="Calibri"/>
      <scheme val="minor"/>
    </font>
    <font>
      <b/>
      <sz val="18"/>
      <color rgb="FFFFFFFF"/>
      <name val="Calibri"/>
      <family val="2"/>
      <scheme val="minor"/>
    </font>
    <font>
      <i/>
      <sz val="10"/>
      <color rgb="FFFFFFFF"/>
      <name val="Calibri"/>
      <family val="2"/>
      <scheme val="minor"/>
    </font>
    <font>
      <b/>
      <sz val="12"/>
      <color rgb="FF1F3864"/>
      <name val="Calibri"/>
      <family val="2"/>
      <scheme val="minor"/>
    </font>
    <font>
      <b/>
      <i/>
      <sz val="10"/>
      <color rgb="FF666666"/>
      <name val="Calibri"/>
      <family val="2"/>
      <scheme val="minor"/>
    </font>
    <font>
      <b/>
      <sz val="9"/>
      <color rgb="FF666666"/>
      <name val="Calibri"/>
      <family val="2"/>
      <scheme val="minor"/>
    </font>
    <font>
      <sz val="11"/>
      <color rgb="FF008000"/>
      <name val="Calibri"/>
      <family val="2"/>
      <scheme val="minor"/>
    </font>
    <font>
      <b/>
      <sz val="20"/>
      <color rgb="FF008000"/>
      <name val="Calibri"/>
      <family val="2"/>
      <scheme val="minor"/>
    </font>
    <font>
      <sz val="9"/>
      <color indexed="81"/>
      <name val="Tahoma"/>
      <charset val="1"/>
    </font>
    <font>
      <b/>
      <sz val="9"/>
      <color indexed="81"/>
      <name val="Tahoma"/>
      <charset val="1"/>
    </font>
    <font>
      <b/>
      <sz val="13"/>
      <color rgb="FF1B2A63"/>
      <name val="Arial"/>
    </font>
    <font>
      <sz val="10"/>
      <color theme="1"/>
      <name val="Arial"/>
    </font>
    <font>
      <b/>
      <sz val="10"/>
      <color theme="1"/>
      <name val="Arial"/>
    </font>
    <font>
      <b/>
      <sz val="9"/>
      <color rgb="FF7F7F7F"/>
      <name val="Calibri"/>
      <family val="2"/>
      <scheme val="minor"/>
    </font>
    <font>
      <b/>
      <sz val="22"/>
      <color rgb="FF1F3864"/>
      <name val="Calibri"/>
      <family val="2"/>
      <scheme val="minor"/>
    </font>
  </fonts>
  <fills count="34">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2060"/>
        <bgColor indexed="64"/>
      </patternFill>
    </fill>
    <fill>
      <patternFill patternType="solid">
        <fgColor theme="2"/>
        <bgColor indexed="64"/>
      </patternFill>
    </fill>
    <fill>
      <patternFill patternType="solid">
        <fgColor theme="7" tint="-0.499984740745262"/>
        <bgColor indexed="64"/>
      </patternFill>
    </fill>
    <fill>
      <patternFill patternType="solid">
        <fgColor rgb="FFFFFFFF"/>
        <bgColor indexed="64"/>
      </patternFill>
    </fill>
    <fill>
      <patternFill patternType="solid">
        <fgColor rgb="FFF8F8FC"/>
        <bgColor indexed="64"/>
      </patternFill>
    </fill>
    <fill>
      <patternFill patternType="solid">
        <fgColor rgb="FF1F3864"/>
        <bgColor rgb="FF1D324F"/>
      </patternFill>
    </fill>
    <fill>
      <patternFill patternType="solid">
        <fgColor rgb="FF2E5F5A"/>
        <bgColor rgb="FF595959"/>
      </patternFill>
    </fill>
    <fill>
      <patternFill patternType="solid">
        <fgColor rgb="FF2E5F5A"/>
        <bgColor rgb="FF1E6B34"/>
      </patternFill>
    </fill>
    <fill>
      <patternFill patternType="solid">
        <fgColor rgb="FF1F3864"/>
        <bgColor rgb="FF1C314E"/>
      </patternFill>
    </fill>
    <fill>
      <patternFill patternType="solid">
        <fgColor rgb="FFF2F2F2"/>
        <bgColor indexed="64"/>
      </patternFill>
    </fill>
    <fill>
      <patternFill patternType="solid">
        <fgColor rgb="FFFFF2CC"/>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4" tint="0.39988402966399123"/>
        <bgColor rgb="FFB7C3D6"/>
      </patternFill>
    </fill>
    <fill>
      <patternFill patternType="solid">
        <fgColor theme="6" tint="0.39988402966399123"/>
        <bgColor rgb="FFFF8119"/>
      </patternFill>
    </fill>
    <fill>
      <patternFill patternType="solid">
        <fgColor theme="9"/>
        <bgColor rgb="FF595959"/>
      </patternFill>
    </fill>
    <fill>
      <patternFill patternType="solid">
        <fgColor theme="2"/>
        <bgColor rgb="FFF2F2F2"/>
      </patternFill>
    </fill>
    <fill>
      <patternFill patternType="solid">
        <fgColor rgb="FF1B2A63"/>
        <bgColor indexed="64"/>
      </patternFill>
    </fill>
    <fill>
      <patternFill patternType="solid">
        <fgColor rgb="FFEAF0FB"/>
        <bgColor indexed="64"/>
      </patternFill>
    </fill>
    <fill>
      <patternFill patternType="solid">
        <fgColor rgb="FFF5F8FD"/>
        <bgColor indexed="64"/>
      </patternFill>
    </fill>
    <fill>
      <patternFill patternType="solid">
        <fgColor rgb="FFC6E8CE"/>
        <bgColor indexed="64"/>
      </patternFill>
    </fill>
    <fill>
      <patternFill patternType="solid">
        <fgColor rgb="FF2E5F5A"/>
        <bgColor indexed="64"/>
      </patternFill>
    </fill>
    <fill>
      <patternFill patternType="solid">
        <fgColor rgb="FF1F3864"/>
        <bgColor indexed="64"/>
      </patternFill>
    </fill>
    <fill>
      <patternFill patternType="solid">
        <fgColor rgb="FFD9E2F3"/>
        <bgColor indexed="64"/>
      </patternFill>
    </fill>
  </fills>
  <borders count="54">
    <border>
      <left/>
      <right/>
      <top/>
      <bottom/>
      <diagonal/>
    </border>
    <border>
      <left/>
      <right/>
      <top/>
      <bottom style="thin">
        <color indexed="64"/>
      </bottom>
      <diagonal/>
    </border>
    <border>
      <left/>
      <right/>
      <top/>
      <bottom style="thin">
        <color theme="0"/>
      </bottom>
      <diagonal/>
    </border>
    <border>
      <left/>
      <right/>
      <top/>
      <bottom style="medium">
        <color rgb="FFDBE4F0"/>
      </bottom>
      <diagonal/>
    </border>
    <border>
      <left/>
      <right/>
      <top style="medium">
        <color rgb="FFDBE4F0"/>
      </top>
      <bottom/>
      <diagonal/>
    </border>
    <border>
      <left style="thin">
        <color rgb="FFB7C3D6"/>
      </left>
      <right style="thin">
        <color rgb="FFB7C3D6"/>
      </right>
      <top/>
      <bottom style="thin">
        <color rgb="FFB7C3D6"/>
      </bottom>
      <diagonal/>
    </border>
    <border>
      <left style="thin">
        <color rgb="FFB7C3D6"/>
      </left>
      <right style="thin">
        <color rgb="FFB7C3D6"/>
      </right>
      <top style="thin">
        <color rgb="FFB7C3D6"/>
      </top>
      <bottom style="thin">
        <color rgb="FFB7C3D6"/>
      </bottom>
      <diagonal/>
    </border>
    <border>
      <left/>
      <right/>
      <top/>
      <bottom style="medium">
        <color indexed="64"/>
      </bottom>
      <diagonal/>
    </border>
    <border>
      <left/>
      <right/>
      <top style="thin">
        <color auto="1"/>
      </top>
      <bottom style="thin">
        <color indexed="64"/>
      </bottom>
      <diagonal/>
    </border>
    <border>
      <left/>
      <right/>
      <top style="thin">
        <color auto="1"/>
      </top>
      <bottom/>
      <diagonal/>
    </border>
    <border>
      <left style="thin">
        <color auto="1"/>
      </left>
      <right style="thin">
        <color auto="1"/>
      </right>
      <top style="thin">
        <color auto="1"/>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hair">
        <color auto="1"/>
      </top>
      <bottom/>
      <diagonal/>
    </border>
    <border>
      <left/>
      <right/>
      <top/>
      <bottom style="hair">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style="hair">
        <color auto="1"/>
      </top>
      <bottom style="thin">
        <color indexed="64"/>
      </bottom>
      <diagonal/>
    </border>
    <border>
      <left/>
      <right style="thin">
        <color indexed="64"/>
      </right>
      <top style="hair">
        <color auto="1"/>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style="medium">
        <color indexed="64"/>
      </top>
      <bottom style="hair">
        <color auto="1"/>
      </bottom>
      <diagonal/>
    </border>
    <border>
      <left style="thin">
        <color indexed="64"/>
      </left>
      <right style="thin">
        <color indexed="64"/>
      </right>
      <top style="medium">
        <color indexed="64"/>
      </top>
      <bottom style="hair">
        <color auto="1"/>
      </bottom>
      <diagonal/>
    </border>
    <border>
      <left/>
      <right style="thin">
        <color indexed="64"/>
      </right>
      <top style="medium">
        <color indexed="64"/>
      </top>
      <bottom style="hair">
        <color auto="1"/>
      </bottom>
      <diagonal/>
    </border>
    <border>
      <left/>
      <right style="medium">
        <color indexed="64"/>
      </right>
      <top style="medium">
        <color indexed="64"/>
      </top>
      <bottom style="hair">
        <color auto="1"/>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style="thin">
        <color theme="0"/>
      </top>
      <bottom/>
      <diagonal/>
    </border>
    <border>
      <left/>
      <right/>
      <top/>
      <bottom style="medium">
        <color rgb="FF1B2A63"/>
      </bottom>
      <diagonal/>
    </border>
    <border>
      <left/>
      <right/>
      <top style="medium">
        <color rgb="FF1B2A63"/>
      </top>
      <bottom/>
      <diagonal/>
    </border>
    <border>
      <left/>
      <right/>
      <top style="thin">
        <color rgb="FF1B2A63"/>
      </top>
      <bottom/>
      <diagonal/>
    </border>
    <border>
      <left/>
      <right/>
      <top style="thin">
        <color rgb="FFBFBFBF"/>
      </top>
      <bottom/>
      <diagonal/>
    </border>
    <border>
      <left/>
      <right/>
      <top style="thin">
        <color rgb="FFBFBFBF"/>
      </top>
      <bottom style="medium">
        <color rgb="FF1B2A63"/>
      </bottom>
      <diagonal/>
    </border>
    <border>
      <left style="thin">
        <color rgb="FFB7C3D6"/>
      </left>
      <right style="thin">
        <color rgb="FFB7C3D6"/>
      </right>
      <top style="thin">
        <color rgb="FFB7C3D6"/>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top style="thick">
        <color rgb="FF1F3864"/>
      </top>
      <bottom/>
      <diagonal/>
    </border>
    <border>
      <left/>
      <right/>
      <top style="thick">
        <color rgb="FF1F3864"/>
      </top>
      <bottom/>
      <diagonal/>
    </border>
    <border>
      <left/>
      <right style="thin">
        <color rgb="FFD9D9D9"/>
      </right>
      <top style="thick">
        <color rgb="FF1F3864"/>
      </top>
      <bottom/>
      <diagonal/>
    </border>
  </borders>
  <cellStyleXfs count="14">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xf numFmtId="0" fontId="30" fillId="0" borderId="0"/>
    <xf numFmtId="180" fontId="30" fillId="0" borderId="0"/>
    <xf numFmtId="9" fontId="30" fillId="0" borderId="0"/>
    <xf numFmtId="0" fontId="56" fillId="0" borderId="0">
      <alignment vertical="top"/>
      <protection locked="0"/>
    </xf>
    <xf numFmtId="0" fontId="55" fillId="23" borderId="0"/>
    <xf numFmtId="0" fontId="55" fillId="24" borderId="0"/>
    <xf numFmtId="0" fontId="55" fillId="25" borderId="0"/>
  </cellStyleXfs>
  <cellXfs count="373">
    <xf numFmtId="0" fontId="0" fillId="0" borderId="0" xfId="0"/>
    <xf numFmtId="164" fontId="1" fillId="0" borderId="0" xfId="1" applyFont="1" applyBorder="1"/>
    <xf numFmtId="0" fontId="1" fillId="0" borderId="0" xfId="0" applyFont="1"/>
    <xf numFmtId="0" fontId="6" fillId="0" borderId="0" xfId="0" applyFont="1"/>
    <xf numFmtId="164" fontId="0" fillId="0" borderId="0" xfId="1" applyFont="1" applyBorder="1"/>
    <xf numFmtId="10" fontId="0" fillId="0" borderId="0" xfId="0" applyNumberFormat="1"/>
    <xf numFmtId="164" fontId="3" fillId="0" borderId="0" xfId="1" applyFont="1" applyBorder="1"/>
    <xf numFmtId="9" fontId="3" fillId="0" borderId="0" xfId="1" applyNumberFormat="1" applyFont="1" applyBorder="1"/>
    <xf numFmtId="164" fontId="2" fillId="2" borderId="0" xfId="3" applyNumberFormat="1" applyFont="1" applyBorder="1"/>
    <xf numFmtId="164" fontId="2" fillId="3" borderId="0" xfId="4" applyNumberFormat="1" applyFont="1" applyBorder="1"/>
    <xf numFmtId="9" fontId="1" fillId="0" borderId="0" xfId="6" applyFont="1" applyBorder="1"/>
    <xf numFmtId="0" fontId="2" fillId="5" borderId="0" xfId="0" applyFont="1" applyFill="1"/>
    <xf numFmtId="165" fontId="2" fillId="5" borderId="0" xfId="0" applyNumberFormat="1" applyFont="1" applyFill="1" applyAlignment="1">
      <alignment horizontal="center"/>
    </xf>
    <xf numFmtId="0" fontId="2" fillId="5" borderId="0" xfId="0" applyFont="1" applyFill="1" applyAlignment="1">
      <alignment horizontal="center"/>
    </xf>
    <xf numFmtId="164" fontId="0" fillId="0" borderId="0" xfId="1" applyFont="1" applyBorder="1" applyAlignment="1">
      <alignment horizontal="center"/>
    </xf>
    <xf numFmtId="164" fontId="1" fillId="0" borderId="0" xfId="1" applyFont="1" applyBorder="1" applyAlignment="1">
      <alignment horizontal="center"/>
    </xf>
    <xf numFmtId="10" fontId="1" fillId="0" borderId="0" xfId="0" applyNumberFormat="1" applyFont="1"/>
    <xf numFmtId="165" fontId="2" fillId="5" borderId="0" xfId="1" applyNumberFormat="1" applyFont="1" applyFill="1" applyBorder="1"/>
    <xf numFmtId="165" fontId="7" fillId="0" borderId="0" xfId="1" applyNumberFormat="1" applyFont="1" applyFill="1" applyBorder="1"/>
    <xf numFmtId="0" fontId="0" fillId="0" borderId="0" xfId="0" applyAlignment="1">
      <alignment horizontal="left"/>
    </xf>
    <xf numFmtId="0" fontId="7" fillId="0" borderId="0" xfId="0" applyFont="1"/>
    <xf numFmtId="43" fontId="0" fillId="0" borderId="0" xfId="1" applyNumberFormat="1" applyFont="1" applyBorder="1"/>
    <xf numFmtId="17" fontId="1" fillId="0" borderId="0" xfId="0" applyNumberFormat="1" applyFont="1"/>
    <xf numFmtId="2" fontId="0" fillId="0" borderId="0" xfId="0" applyNumberFormat="1"/>
    <xf numFmtId="166" fontId="1" fillId="0" borderId="0" xfId="6" applyNumberFormat="1" applyFont="1" applyFill="1"/>
    <xf numFmtId="2" fontId="1" fillId="0" borderId="0" xfId="6" applyNumberFormat="1" applyFont="1" applyFill="1"/>
    <xf numFmtId="0" fontId="0" fillId="7" borderId="0" xfId="0" applyFill="1"/>
    <xf numFmtId="0" fontId="9" fillId="0" borderId="0" xfId="0" applyFont="1"/>
    <xf numFmtId="0" fontId="1" fillId="0" borderId="1" xfId="0" applyFont="1" applyBorder="1"/>
    <xf numFmtId="0" fontId="0" fillId="0" borderId="1" xfId="0" applyBorder="1"/>
    <xf numFmtId="0" fontId="0" fillId="8" borderId="0" xfId="0" applyFill="1"/>
    <xf numFmtId="0" fontId="2" fillId="8" borderId="0" xfId="0" applyFont="1" applyFill="1"/>
    <xf numFmtId="0" fontId="2" fillId="8" borderId="0" xfId="0" applyFont="1" applyFill="1" applyAlignment="1">
      <alignment wrapText="1"/>
    </xf>
    <xf numFmtId="0" fontId="2" fillId="8" borderId="0" xfId="0" applyFont="1" applyFill="1" applyAlignment="1">
      <alignment horizontal="center" wrapText="1"/>
    </xf>
    <xf numFmtId="0" fontId="1" fillId="9" borderId="0" xfId="0" applyFont="1" applyFill="1"/>
    <xf numFmtId="2" fontId="1" fillId="9" borderId="0" xfId="0" applyNumberFormat="1" applyFont="1" applyFill="1"/>
    <xf numFmtId="170" fontId="1" fillId="9" borderId="0" xfId="0" applyNumberFormat="1" applyFont="1" applyFill="1"/>
    <xf numFmtId="171" fontId="1" fillId="9" borderId="0" xfId="0" applyNumberFormat="1" applyFont="1" applyFill="1"/>
    <xf numFmtId="170" fontId="0" fillId="0" borderId="0" xfId="0" applyNumberFormat="1"/>
    <xf numFmtId="170" fontId="1" fillId="0" borderId="0" xfId="0" applyNumberFormat="1" applyFont="1"/>
    <xf numFmtId="171" fontId="0" fillId="0" borderId="0" xfId="0" applyNumberFormat="1"/>
    <xf numFmtId="0" fontId="2" fillId="10" borderId="0" xfId="0" applyFont="1" applyFill="1"/>
    <xf numFmtId="0" fontId="0" fillId="10" borderId="0" xfId="0" applyFill="1"/>
    <xf numFmtId="2" fontId="9" fillId="0" borderId="0" xfId="0" applyNumberFormat="1" applyFont="1"/>
    <xf numFmtId="0" fontId="11" fillId="0" borderId="0" xfId="0" applyFont="1" applyAlignment="1">
      <alignment vertical="center" wrapText="1"/>
    </xf>
    <xf numFmtId="0" fontId="4" fillId="0" borderId="0" xfId="2" applyAlignment="1" applyProtection="1">
      <alignment vertical="center" wrapText="1"/>
    </xf>
    <xf numFmtId="0" fontId="12" fillId="11" borderId="3" xfId="0" applyFont="1" applyFill="1" applyBorder="1" applyAlignment="1">
      <alignment horizontal="left" vertical="center" indent="2"/>
    </xf>
    <xf numFmtId="17" fontId="12" fillId="11" borderId="3" xfId="0" applyNumberFormat="1" applyFont="1" applyFill="1" applyBorder="1" applyAlignment="1">
      <alignment horizontal="right" vertical="center" wrapText="1"/>
    </xf>
    <xf numFmtId="0" fontId="13" fillId="12" borderId="4" xfId="0" applyFont="1" applyFill="1" applyBorder="1" applyAlignment="1">
      <alignment horizontal="left" vertical="center" indent="2"/>
    </xf>
    <xf numFmtId="3" fontId="13" fillId="12" borderId="4" xfId="0" applyNumberFormat="1" applyFont="1" applyFill="1" applyBorder="1" applyAlignment="1">
      <alignment horizontal="right" vertical="center" wrapText="1"/>
    </xf>
    <xf numFmtId="0" fontId="13" fillId="12" borderId="4" xfId="0" applyFont="1" applyFill="1" applyBorder="1" applyAlignment="1">
      <alignment horizontal="left" vertical="center"/>
    </xf>
    <xf numFmtId="0" fontId="15" fillId="12" borderId="0" xfId="0" applyFont="1" applyFill="1" applyAlignment="1">
      <alignment horizontal="left" vertical="center"/>
    </xf>
    <xf numFmtId="0" fontId="15" fillId="12" borderId="0" xfId="0" applyFont="1" applyFill="1" applyAlignment="1">
      <alignment horizontal="right" vertical="center" wrapText="1"/>
    </xf>
    <xf numFmtId="3" fontId="15" fillId="12" borderId="0" xfId="0" applyNumberFormat="1" applyFont="1" applyFill="1" applyAlignment="1">
      <alignment horizontal="right" vertical="center" wrapText="1"/>
    </xf>
    <xf numFmtId="0" fontId="13" fillId="12" borderId="4" xfId="0" applyFont="1" applyFill="1" applyBorder="1" applyAlignment="1">
      <alignment horizontal="right" vertical="center" wrapText="1"/>
    </xf>
    <xf numFmtId="0" fontId="13" fillId="11" borderId="4" xfId="0" applyFont="1" applyFill="1" applyBorder="1" applyAlignment="1">
      <alignment horizontal="left" vertical="center" indent="2"/>
    </xf>
    <xf numFmtId="0" fontId="13" fillId="11" borderId="4" xfId="0" applyFont="1" applyFill="1" applyBorder="1" applyAlignment="1">
      <alignment horizontal="right" vertical="center" wrapText="1"/>
    </xf>
    <xf numFmtId="3" fontId="13" fillId="11" borderId="4" xfId="0" applyNumberFormat="1" applyFont="1" applyFill="1" applyBorder="1" applyAlignment="1">
      <alignment horizontal="right" vertical="center" wrapText="1"/>
    </xf>
    <xf numFmtId="0" fontId="15" fillId="11" borderId="0" xfId="0" applyFont="1" applyFill="1" applyAlignment="1">
      <alignment horizontal="left" vertical="center"/>
    </xf>
    <xf numFmtId="0" fontId="15" fillId="11" borderId="0" xfId="0" applyFont="1" applyFill="1" applyAlignment="1">
      <alignment horizontal="right" vertical="center" wrapText="1"/>
    </xf>
    <xf numFmtId="3" fontId="15" fillId="11" borderId="0" xfId="0" applyNumberFormat="1" applyFont="1" applyFill="1" applyAlignment="1">
      <alignment horizontal="right" vertical="center" wrapText="1"/>
    </xf>
    <xf numFmtId="0" fontId="16" fillId="12" borderId="0" xfId="0" applyFont="1" applyFill="1" applyAlignment="1">
      <alignment horizontal="left" vertical="center" indent="2"/>
    </xf>
    <xf numFmtId="3" fontId="16" fillId="12" borderId="0" xfId="0" applyNumberFormat="1" applyFont="1" applyFill="1" applyAlignment="1">
      <alignment horizontal="right" vertical="center" wrapText="1"/>
    </xf>
    <xf numFmtId="0" fontId="16" fillId="11" borderId="0" xfId="0" applyFont="1" applyFill="1" applyAlignment="1">
      <alignment horizontal="left" vertical="center" indent="2"/>
    </xf>
    <xf numFmtId="9" fontId="16" fillId="11" borderId="0" xfId="0" applyNumberFormat="1" applyFont="1" applyFill="1" applyAlignment="1">
      <alignment horizontal="right" vertical="center" wrapText="1"/>
    </xf>
    <xf numFmtId="0" fontId="1" fillId="0" borderId="0" xfId="0" applyFont="1" applyAlignment="1">
      <alignment horizontal="right"/>
    </xf>
    <xf numFmtId="0" fontId="17" fillId="13" borderId="5" xfId="0" applyFont="1" applyFill="1" applyBorder="1" applyAlignment="1">
      <alignment horizontal="left" vertical="center"/>
    </xf>
    <xf numFmtId="0" fontId="17" fillId="13" borderId="6" xfId="0" applyFont="1" applyFill="1" applyBorder="1" applyAlignment="1">
      <alignment horizontal="center" vertical="center"/>
    </xf>
    <xf numFmtId="0" fontId="19" fillId="0" borderId="6" xfId="0" applyFont="1" applyBorder="1" applyAlignment="1">
      <alignment horizontal="left" vertical="center" wrapText="1" indent="1"/>
    </xf>
    <xf numFmtId="171" fontId="20" fillId="0" borderId="6" xfId="0" applyNumberFormat="1" applyFont="1" applyBorder="1" applyAlignment="1">
      <alignment horizontal="center" vertical="center"/>
    </xf>
    <xf numFmtId="166" fontId="20" fillId="0" borderId="6" xfId="0" applyNumberFormat="1" applyFont="1" applyBorder="1" applyAlignment="1">
      <alignment horizontal="center" vertical="center"/>
    </xf>
    <xf numFmtId="172" fontId="20" fillId="0" borderId="6" xfId="0" applyNumberFormat="1" applyFont="1" applyBorder="1" applyAlignment="1">
      <alignment horizontal="center" vertical="center"/>
    </xf>
    <xf numFmtId="0" fontId="22" fillId="16" borderId="6" xfId="0" applyFont="1" applyFill="1" applyBorder="1" applyAlignment="1">
      <alignment horizontal="left" vertical="center" indent="1"/>
    </xf>
    <xf numFmtId="0" fontId="22" fillId="16" borderId="6" xfId="0" applyFont="1" applyFill="1" applyBorder="1" applyAlignment="1">
      <alignment horizontal="center" vertical="center"/>
    </xf>
    <xf numFmtId="0" fontId="23" fillId="0" borderId="6" xfId="0" applyFont="1" applyBorder="1" applyAlignment="1">
      <alignment horizontal="left" vertical="center" wrapText="1" indent="1"/>
    </xf>
    <xf numFmtId="3" fontId="23" fillId="0" borderId="6" xfId="0" applyNumberFormat="1" applyFont="1" applyBorder="1" applyAlignment="1">
      <alignment horizontal="center" vertical="center"/>
    </xf>
    <xf numFmtId="173" fontId="23" fillId="0" borderId="6" xfId="0" applyNumberFormat="1" applyFont="1" applyBorder="1" applyAlignment="1">
      <alignment horizontal="center" vertical="center"/>
    </xf>
    <xf numFmtId="0" fontId="24" fillId="0" borderId="6" xfId="0" applyFont="1" applyBorder="1" applyAlignment="1">
      <alignment horizontal="left" vertical="center" wrapText="1" indent="1"/>
    </xf>
    <xf numFmtId="173" fontId="25" fillId="0" borderId="6" xfId="0" applyNumberFormat="1" applyFont="1" applyBorder="1" applyAlignment="1">
      <alignment horizontal="center" vertical="center"/>
    </xf>
    <xf numFmtId="0" fontId="25" fillId="0" borderId="6" xfId="0" applyFont="1" applyBorder="1" applyAlignment="1">
      <alignment horizontal="center" vertical="center"/>
    </xf>
    <xf numFmtId="166" fontId="0" fillId="0" borderId="0" xfId="0" applyNumberFormat="1"/>
    <xf numFmtId="0" fontId="19" fillId="0" borderId="6" xfId="0" applyFont="1" applyBorder="1" applyAlignment="1">
      <alignment horizontal="left" vertical="center" indent="1"/>
    </xf>
    <xf numFmtId="166" fontId="28" fillId="0" borderId="6" xfId="0" applyNumberFormat="1" applyFont="1" applyBorder="1" applyAlignment="1">
      <alignment horizontal="center" vertical="center"/>
    </xf>
    <xf numFmtId="0" fontId="23" fillId="0" borderId="6" xfId="0" applyFont="1" applyBorder="1" applyAlignment="1">
      <alignment horizontal="left" vertical="center" indent="1"/>
    </xf>
    <xf numFmtId="0" fontId="28" fillId="0" borderId="6" xfId="0" applyFont="1" applyBorder="1" applyAlignment="1">
      <alignment horizontal="left" vertical="center" indent="1"/>
    </xf>
    <xf numFmtId="0" fontId="24" fillId="0" borderId="6" xfId="0" applyFont="1" applyBorder="1" applyAlignment="1">
      <alignment horizontal="left" vertical="center" indent="1"/>
    </xf>
    <xf numFmtId="0" fontId="17" fillId="16" borderId="6" xfId="0" applyFont="1" applyFill="1" applyBorder="1" applyAlignment="1">
      <alignment horizontal="left" vertical="center" indent="1"/>
    </xf>
    <xf numFmtId="0" fontId="17" fillId="16" borderId="6" xfId="0" applyFont="1" applyFill="1" applyBorder="1" applyAlignment="1">
      <alignment horizontal="center" vertical="center"/>
    </xf>
    <xf numFmtId="0" fontId="20" fillId="0" borderId="6" xfId="0" applyFont="1" applyBorder="1" applyAlignment="1">
      <alignment horizontal="left" vertical="center" indent="1"/>
    </xf>
    <xf numFmtId="0" fontId="19" fillId="0" borderId="0" xfId="0" applyFont="1" applyAlignment="1">
      <alignment horizontal="left" vertical="center" indent="1"/>
    </xf>
    <xf numFmtId="3" fontId="20" fillId="0" borderId="0" xfId="0" applyNumberFormat="1" applyFont="1" applyAlignment="1">
      <alignment horizontal="center" vertical="center"/>
    </xf>
    <xf numFmtId="174" fontId="20" fillId="0" borderId="0" xfId="0" applyNumberFormat="1" applyFont="1" applyAlignment="1">
      <alignment horizontal="center" vertical="center"/>
    </xf>
    <xf numFmtId="9" fontId="17" fillId="16" borderId="6" xfId="6" applyFont="1" applyFill="1" applyBorder="1" applyAlignment="1">
      <alignment horizontal="center" vertical="center"/>
    </xf>
    <xf numFmtId="174" fontId="23" fillId="0" borderId="6" xfId="6" applyNumberFormat="1" applyFont="1" applyBorder="1" applyAlignment="1">
      <alignment horizontal="center" vertical="center"/>
    </xf>
    <xf numFmtId="174" fontId="28" fillId="0" borderId="6" xfId="6" applyNumberFormat="1" applyFont="1" applyBorder="1" applyAlignment="1">
      <alignment horizontal="center" vertical="center"/>
    </xf>
    <xf numFmtId="175" fontId="28" fillId="0" borderId="6" xfId="0" applyNumberFormat="1" applyFont="1" applyBorder="1" applyAlignment="1">
      <alignment horizontal="center" vertical="center"/>
    </xf>
    <xf numFmtId="175" fontId="20" fillId="0" borderId="6" xfId="0" applyNumberFormat="1" applyFont="1" applyBorder="1" applyAlignment="1">
      <alignment horizontal="center" vertical="center"/>
    </xf>
    <xf numFmtId="174" fontId="20" fillId="0" borderId="6" xfId="6" applyNumberFormat="1" applyFont="1" applyBorder="1" applyAlignment="1">
      <alignment horizontal="center" vertical="center"/>
    </xf>
    <xf numFmtId="169" fontId="2" fillId="8" borderId="2" xfId="0" applyNumberFormat="1" applyFont="1" applyFill="1" applyBorder="1" applyAlignment="1">
      <alignment horizontal="center"/>
    </xf>
    <xf numFmtId="0" fontId="30" fillId="0" borderId="0" xfId="7"/>
    <xf numFmtId="0" fontId="34" fillId="0" borderId="0" xfId="7" applyFont="1" applyAlignment="1">
      <alignment vertical="center"/>
    </xf>
    <xf numFmtId="0" fontId="32" fillId="0" borderId="0" xfId="7" applyFont="1" applyAlignment="1">
      <alignment vertical="center"/>
    </xf>
    <xf numFmtId="166" fontId="33" fillId="0" borderId="0" xfId="7" applyNumberFormat="1" applyFont="1" applyAlignment="1">
      <alignment vertical="center"/>
    </xf>
    <xf numFmtId="10" fontId="32" fillId="0" borderId="0" xfId="7" applyNumberFormat="1" applyFont="1" applyAlignment="1">
      <alignment vertical="center"/>
    </xf>
    <xf numFmtId="0" fontId="36" fillId="17" borderId="8" xfId="7" applyFont="1" applyFill="1" applyBorder="1" applyAlignment="1">
      <alignment vertical="center"/>
    </xf>
    <xf numFmtId="0" fontId="36" fillId="17" borderId="9" xfId="7" applyFont="1" applyFill="1" applyBorder="1" applyAlignment="1">
      <alignment vertical="center"/>
    </xf>
    <xf numFmtId="173" fontId="32" fillId="0" borderId="0" xfId="7" applyNumberFormat="1" applyFont="1" applyAlignment="1">
      <alignment vertical="center"/>
    </xf>
    <xf numFmtId="10" fontId="37" fillId="0" borderId="9" xfId="7" applyNumberFormat="1" applyFont="1" applyBorder="1" applyAlignment="1">
      <alignment vertical="center"/>
    </xf>
    <xf numFmtId="166" fontId="37" fillId="0" borderId="0" xfId="7" applyNumberFormat="1" applyFont="1" applyAlignment="1">
      <alignment vertical="center"/>
    </xf>
    <xf numFmtId="166" fontId="31" fillId="17" borderId="10" xfId="7" applyNumberFormat="1" applyFont="1" applyFill="1" applyBorder="1" applyAlignment="1">
      <alignment horizontal="center" vertical="center"/>
    </xf>
    <xf numFmtId="0" fontId="35" fillId="0" borderId="0" xfId="7" applyFont="1" applyAlignment="1">
      <alignment vertical="center" wrapText="1"/>
    </xf>
    <xf numFmtId="0" fontId="38" fillId="17" borderId="8" xfId="7" applyFont="1" applyFill="1" applyBorder="1" applyAlignment="1">
      <alignment vertical="center" wrapText="1"/>
    </xf>
    <xf numFmtId="0" fontId="38" fillId="17" borderId="9" xfId="7" applyFont="1" applyFill="1" applyBorder="1" applyAlignment="1">
      <alignment vertical="center" wrapText="1"/>
    </xf>
    <xf numFmtId="0" fontId="38" fillId="0" borderId="8" xfId="7" applyFont="1" applyBorder="1" applyAlignment="1">
      <alignment vertical="center" wrapText="1"/>
    </xf>
    <xf numFmtId="0" fontId="37" fillId="0" borderId="8" xfId="7" applyFont="1" applyBorder="1" applyAlignment="1">
      <alignment horizontal="left" vertical="center"/>
    </xf>
    <xf numFmtId="0" fontId="37" fillId="0" borderId="8" xfId="7" applyFont="1" applyBorder="1" applyAlignment="1">
      <alignment horizontal="center" vertical="center"/>
    </xf>
    <xf numFmtId="0" fontId="37" fillId="17" borderId="9" xfId="7" applyFont="1" applyFill="1" applyBorder="1" applyAlignment="1">
      <alignment vertical="center"/>
    </xf>
    <xf numFmtId="0" fontId="37" fillId="17" borderId="8" xfId="7" applyFont="1" applyFill="1" applyBorder="1" applyAlignment="1">
      <alignment vertical="center"/>
    </xf>
    <xf numFmtId="0" fontId="37" fillId="0" borderId="9" xfId="7" applyFont="1" applyBorder="1" applyAlignment="1">
      <alignment vertical="center"/>
    </xf>
    <xf numFmtId="0" fontId="37" fillId="0" borderId="8" xfId="7" applyFont="1" applyBorder="1" applyAlignment="1">
      <alignment vertical="center"/>
    </xf>
    <xf numFmtId="0" fontId="37" fillId="0" borderId="0" xfId="7" applyFont="1" applyAlignment="1">
      <alignment vertical="center"/>
    </xf>
    <xf numFmtId="0" fontId="37" fillId="0" borderId="0" xfId="7" applyFont="1" applyAlignment="1">
      <alignment vertical="top"/>
    </xf>
    <xf numFmtId="0" fontId="39" fillId="17" borderId="10" xfId="7" applyFont="1" applyFill="1" applyBorder="1" applyAlignment="1">
      <alignment horizontal="left" vertical="center"/>
    </xf>
    <xf numFmtId="176" fontId="32" fillId="0" borderId="0" xfId="7" applyNumberFormat="1" applyFont="1" applyAlignment="1">
      <alignment vertical="center"/>
    </xf>
    <xf numFmtId="176" fontId="37" fillId="0" borderId="9" xfId="7" applyNumberFormat="1" applyFont="1" applyBorder="1" applyAlignment="1">
      <alignment vertical="center"/>
    </xf>
    <xf numFmtId="176" fontId="32" fillId="0" borderId="10" xfId="7" applyNumberFormat="1" applyFont="1" applyBorder="1" applyAlignment="1">
      <alignment horizontal="center" vertical="center"/>
    </xf>
    <xf numFmtId="166" fontId="37" fillId="17" borderId="10" xfId="7" applyNumberFormat="1" applyFont="1" applyFill="1" applyBorder="1" applyAlignment="1">
      <alignment horizontal="center" vertical="center"/>
    </xf>
    <xf numFmtId="0" fontId="40" fillId="0" borderId="0" xfId="0" applyFont="1" applyAlignment="1">
      <alignment vertical="top"/>
    </xf>
    <xf numFmtId="0" fontId="41" fillId="0" borderId="7" xfId="0" applyFont="1" applyBorder="1" applyAlignment="1">
      <alignment vertical="top"/>
    </xf>
    <xf numFmtId="0" fontId="40" fillId="0" borderId="7" xfId="0" applyFont="1" applyBorder="1" applyAlignment="1">
      <alignment vertical="top"/>
    </xf>
    <xf numFmtId="0" fontId="43" fillId="0" borderId="0" xfId="0" applyFont="1" applyAlignment="1">
      <alignment vertical="top"/>
    </xf>
    <xf numFmtId="0" fontId="44" fillId="17" borderId="9" xfId="0" applyFont="1" applyFill="1" applyBorder="1" applyAlignment="1">
      <alignment vertical="top"/>
    </xf>
    <xf numFmtId="0" fontId="44" fillId="0" borderId="0" xfId="0" applyFont="1" applyAlignment="1">
      <alignment vertical="top"/>
    </xf>
    <xf numFmtId="0" fontId="44" fillId="0" borderId="8" xfId="0" applyFont="1" applyBorder="1" applyAlignment="1">
      <alignment vertical="top"/>
    </xf>
    <xf numFmtId="0" fontId="45" fillId="0" borderId="0" xfId="0" applyFont="1" applyAlignment="1">
      <alignment vertical="top"/>
    </xf>
    <xf numFmtId="0" fontId="45" fillId="18" borderId="0" xfId="0" applyFont="1" applyFill="1" applyAlignment="1">
      <alignment vertical="top"/>
    </xf>
    <xf numFmtId="0" fontId="40" fillId="0" borderId="0" xfId="0" applyFont="1" applyAlignment="1">
      <alignment vertical="top" wrapText="1"/>
    </xf>
    <xf numFmtId="166" fontId="40" fillId="0" borderId="0" xfId="0" applyNumberFormat="1" applyFont="1" applyAlignment="1">
      <alignment vertical="top"/>
    </xf>
    <xf numFmtId="10" fontId="40" fillId="0" borderId="0" xfId="0" applyNumberFormat="1" applyFont="1" applyAlignment="1">
      <alignment vertical="top"/>
    </xf>
    <xf numFmtId="0" fontId="42" fillId="0" borderId="0" xfId="0" applyFont="1" applyAlignment="1">
      <alignment vertical="top" wrapText="1"/>
    </xf>
    <xf numFmtId="0" fontId="44" fillId="0" borderId="8" xfId="0" applyFont="1" applyBorder="1" applyAlignment="1">
      <alignment vertical="top" wrapText="1"/>
    </xf>
    <xf numFmtId="0" fontId="46" fillId="17" borderId="9" xfId="0" applyFont="1" applyFill="1" applyBorder="1" applyAlignment="1">
      <alignment vertical="top" wrapText="1"/>
    </xf>
    <xf numFmtId="166" fontId="45" fillId="0" borderId="0" xfId="0" applyNumberFormat="1" applyFont="1" applyAlignment="1">
      <alignment vertical="top"/>
    </xf>
    <xf numFmtId="10" fontId="45" fillId="0" borderId="0" xfId="0" applyNumberFormat="1" applyFont="1" applyAlignment="1">
      <alignment vertical="top"/>
    </xf>
    <xf numFmtId="2" fontId="45" fillId="0" borderId="0" xfId="0" applyNumberFormat="1" applyFont="1" applyAlignment="1">
      <alignment vertical="top"/>
    </xf>
    <xf numFmtId="0" fontId="44" fillId="0" borderId="8" xfId="0" applyFont="1" applyBorder="1" applyAlignment="1">
      <alignment horizontal="center" vertical="top"/>
    </xf>
    <xf numFmtId="3" fontId="40" fillId="0" borderId="0" xfId="0" applyNumberFormat="1" applyFont="1" applyAlignment="1">
      <alignment horizontal="center" vertical="top"/>
    </xf>
    <xf numFmtId="166" fontId="40" fillId="0" borderId="0" xfId="0" applyNumberFormat="1" applyFont="1" applyAlignment="1">
      <alignment horizontal="center" vertical="top"/>
    </xf>
    <xf numFmtId="0" fontId="40" fillId="0" borderId="0" xfId="0" applyFont="1" applyAlignment="1">
      <alignment horizontal="center" vertical="top"/>
    </xf>
    <xf numFmtId="2" fontId="40" fillId="0" borderId="0" xfId="0" applyNumberFormat="1" applyFont="1" applyAlignment="1">
      <alignment horizontal="center" vertical="top"/>
    </xf>
    <xf numFmtId="168" fontId="40" fillId="0" borderId="0" xfId="0" applyNumberFormat="1" applyFont="1" applyAlignment="1">
      <alignment horizontal="center" vertical="top"/>
    </xf>
    <xf numFmtId="0" fontId="44" fillId="0" borderId="9" xfId="0" applyFont="1" applyBorder="1" applyAlignment="1">
      <alignment vertical="top"/>
    </xf>
    <xf numFmtId="3" fontId="44" fillId="0" borderId="9" xfId="0" applyNumberFormat="1" applyFont="1" applyBorder="1" applyAlignment="1">
      <alignment horizontal="center" vertical="top"/>
    </xf>
    <xf numFmtId="166" fontId="44" fillId="0" borderId="9" xfId="0" applyNumberFormat="1" applyFont="1" applyBorder="1" applyAlignment="1">
      <alignment horizontal="center" vertical="top"/>
    </xf>
    <xf numFmtId="0" fontId="44" fillId="0" borderId="9" xfId="0" applyFont="1" applyBorder="1" applyAlignment="1">
      <alignment horizontal="center" vertical="top"/>
    </xf>
    <xf numFmtId="0" fontId="40" fillId="0" borderId="9" xfId="0" applyFont="1" applyBorder="1" applyAlignment="1">
      <alignment vertical="top"/>
    </xf>
    <xf numFmtId="3" fontId="40" fillId="0" borderId="9" xfId="0" applyNumberFormat="1" applyFont="1" applyBorder="1" applyAlignment="1">
      <alignment horizontal="center" vertical="top"/>
    </xf>
    <xf numFmtId="0" fontId="40" fillId="0" borderId="9" xfId="0" applyFont="1" applyBorder="1" applyAlignment="1">
      <alignment horizontal="center" vertical="top"/>
    </xf>
    <xf numFmtId="0" fontId="47" fillId="18" borderId="0" xfId="0" applyFont="1" applyFill="1" applyAlignment="1">
      <alignment vertical="top"/>
    </xf>
    <xf numFmtId="14" fontId="45" fillId="18" borderId="0" xfId="0" applyNumberFormat="1" applyFont="1" applyFill="1" applyAlignment="1">
      <alignment horizontal="left" vertical="top"/>
    </xf>
    <xf numFmtId="0" fontId="1" fillId="6" borderId="11" xfId="0" applyFont="1" applyFill="1" applyBorder="1" applyAlignment="1">
      <alignment horizontal="center"/>
    </xf>
    <xf numFmtId="0" fontId="10" fillId="0" borderId="0" xfId="0" applyFont="1"/>
    <xf numFmtId="0" fontId="0" fillId="0" borderId="0" xfId="0" applyAlignment="1">
      <alignment horizontal="right"/>
    </xf>
    <xf numFmtId="0" fontId="0" fillId="0" borderId="1" xfId="0" applyBorder="1" applyAlignment="1">
      <alignment horizontal="right"/>
    </xf>
    <xf numFmtId="10" fontId="1" fillId="20" borderId="0" xfId="6" applyNumberFormat="1" applyFont="1" applyFill="1" applyAlignment="1">
      <alignment horizontal="right"/>
    </xf>
    <xf numFmtId="2" fontId="1" fillId="20" borderId="0" xfId="0" applyNumberFormat="1" applyFont="1" applyFill="1"/>
    <xf numFmtId="178" fontId="50" fillId="0" borderId="0" xfId="0" applyNumberFormat="1" applyFont="1" applyAlignment="1">
      <alignment horizontal="right"/>
    </xf>
    <xf numFmtId="10" fontId="50" fillId="0" borderId="0" xfId="6" applyNumberFormat="1" applyFont="1" applyAlignment="1">
      <alignment horizontal="right"/>
    </xf>
    <xf numFmtId="10" fontId="0" fillId="20" borderId="0" xfId="6" applyNumberFormat="1" applyFont="1" applyFill="1" applyAlignment="1">
      <alignment horizontal="right"/>
    </xf>
    <xf numFmtId="2" fontId="0" fillId="0" borderId="0" xfId="0" applyNumberFormat="1" applyAlignment="1">
      <alignment horizontal="right"/>
    </xf>
    <xf numFmtId="2" fontId="0" fillId="20" borderId="0" xfId="0" applyNumberFormat="1" applyFill="1" applyAlignment="1">
      <alignment horizontal="right"/>
    </xf>
    <xf numFmtId="0" fontId="1" fillId="0" borderId="9" xfId="0" applyFont="1" applyBorder="1"/>
    <xf numFmtId="10" fontId="0" fillId="0" borderId="9" xfId="0" applyNumberFormat="1" applyBorder="1"/>
    <xf numFmtId="2" fontId="0" fillId="0" borderId="9" xfId="0" applyNumberFormat="1" applyBorder="1"/>
    <xf numFmtId="10" fontId="0" fillId="0" borderId="1" xfId="0" applyNumberFormat="1" applyBorder="1"/>
    <xf numFmtId="2" fontId="0" fillId="0" borderId="1" xfId="0" applyNumberFormat="1" applyBorder="1"/>
    <xf numFmtId="2" fontId="1" fillId="7" borderId="1" xfId="0" applyNumberFormat="1" applyFont="1" applyFill="1" applyBorder="1"/>
    <xf numFmtId="10" fontId="51" fillId="0" borderId="0" xfId="6" applyNumberFormat="1" applyFont="1"/>
    <xf numFmtId="10" fontId="3" fillId="0" borderId="0" xfId="6" applyNumberFormat="1" applyFont="1"/>
    <xf numFmtId="10" fontId="50" fillId="0" borderId="0" xfId="6" applyNumberFormat="1" applyFont="1"/>
    <xf numFmtId="0" fontId="0" fillId="0" borderId="15" xfId="0" applyBorder="1"/>
    <xf numFmtId="10" fontId="0" fillId="20" borderId="15" xfId="0" applyNumberFormat="1" applyFill="1" applyBorder="1"/>
    <xf numFmtId="0" fontId="0" fillId="0" borderId="16" xfId="0" applyBorder="1"/>
    <xf numFmtId="10" fontId="0" fillId="20" borderId="15" xfId="6" applyNumberFormat="1" applyFont="1" applyFill="1" applyBorder="1"/>
    <xf numFmtId="0" fontId="1" fillId="0" borderId="1" xfId="0" applyFont="1" applyBorder="1" applyAlignment="1">
      <alignment horizontal="right"/>
    </xf>
    <xf numFmtId="178" fontId="0" fillId="0" borderId="0" xfId="0" applyNumberFormat="1" applyAlignment="1">
      <alignment horizontal="right"/>
    </xf>
    <xf numFmtId="10" fontId="0" fillId="0" borderId="0" xfId="6" applyNumberFormat="1" applyFont="1"/>
    <xf numFmtId="178" fontId="0" fillId="19" borderId="15" xfId="0" applyNumberFormat="1" applyFill="1" applyBorder="1" applyAlignment="1">
      <alignment horizontal="right"/>
    </xf>
    <xf numFmtId="10" fontId="0" fillId="0" borderId="15" xfId="6" applyNumberFormat="1" applyFont="1" applyBorder="1"/>
    <xf numFmtId="10" fontId="52" fillId="19" borderId="15" xfId="0" applyNumberFormat="1" applyFont="1" applyFill="1" applyBorder="1" applyAlignment="1">
      <alignment horizontal="right" vertical="center" wrapText="1"/>
    </xf>
    <xf numFmtId="2" fontId="0" fillId="20" borderId="15" xfId="0" applyNumberFormat="1" applyFill="1" applyBorder="1"/>
    <xf numFmtId="0" fontId="1" fillId="0" borderId="15" xfId="0" applyFont="1" applyBorder="1"/>
    <xf numFmtId="10" fontId="1" fillId="20" borderId="15" xfId="6" applyNumberFormat="1" applyFont="1" applyFill="1" applyBorder="1"/>
    <xf numFmtId="0" fontId="2" fillId="21" borderId="0" xfId="0" applyFont="1" applyFill="1" applyAlignment="1">
      <alignment horizontal="left" vertical="center" indent="4"/>
    </xf>
    <xf numFmtId="0" fontId="0" fillId="0" borderId="0" xfId="0" applyAlignment="1">
      <alignment horizontal="left" vertical="center" indent="4"/>
    </xf>
    <xf numFmtId="0" fontId="0" fillId="0" borderId="19" xfId="0" applyBorder="1"/>
    <xf numFmtId="0" fontId="0" fillId="0" borderId="20" xfId="0" applyBorder="1"/>
    <xf numFmtId="0" fontId="0" fillId="0" borderId="21" xfId="0" applyBorder="1"/>
    <xf numFmtId="2" fontId="0" fillId="0" borderId="22" xfId="0" applyNumberFormat="1" applyBorder="1"/>
    <xf numFmtId="0" fontId="1" fillId="0" borderId="16" xfId="0" applyFont="1" applyBorder="1" applyAlignment="1">
      <alignment horizontal="left"/>
    </xf>
    <xf numFmtId="0" fontId="1" fillId="0" borderId="16" xfId="0" applyFont="1" applyBorder="1" applyAlignment="1">
      <alignment horizontal="left" vertical="center" indent="4"/>
    </xf>
    <xf numFmtId="0" fontId="1" fillId="0" borderId="16" xfId="0" applyFont="1" applyBorder="1" applyAlignment="1">
      <alignment horizontal="right"/>
    </xf>
    <xf numFmtId="0" fontId="1" fillId="0" borderId="16" xfId="0" applyFont="1" applyBorder="1" applyAlignment="1">
      <alignment horizontal="left" indent="5"/>
    </xf>
    <xf numFmtId="0" fontId="0" fillId="0" borderId="19" xfId="0" applyBorder="1" applyAlignment="1">
      <alignment horizontal="left"/>
    </xf>
    <xf numFmtId="2" fontId="0" fillId="0" borderId="20" xfId="0" applyNumberFormat="1" applyBorder="1"/>
    <xf numFmtId="0" fontId="0" fillId="0" borderId="23" xfId="0" applyBorder="1"/>
    <xf numFmtId="2" fontId="0" fillId="0" borderId="24" xfId="0" applyNumberFormat="1" applyBorder="1"/>
    <xf numFmtId="4" fontId="0" fillId="0" borderId="0" xfId="0" applyNumberFormat="1"/>
    <xf numFmtId="10" fontId="53" fillId="0" borderId="20" xfId="6" applyNumberFormat="1" applyFont="1" applyBorder="1"/>
    <xf numFmtId="10" fontId="0" fillId="0" borderId="20" xfId="6" applyNumberFormat="1" applyFont="1" applyBorder="1"/>
    <xf numFmtId="0" fontId="53" fillId="0" borderId="20" xfId="0" applyFont="1" applyBorder="1"/>
    <xf numFmtId="10" fontId="53" fillId="0" borderId="20" xfId="0" applyNumberFormat="1" applyFont="1" applyBorder="1"/>
    <xf numFmtId="0" fontId="0" fillId="20" borderId="25" xfId="0" applyFill="1" applyBorder="1" applyAlignment="1">
      <alignment horizontal="left"/>
    </xf>
    <xf numFmtId="2" fontId="0" fillId="20" borderId="26" xfId="0" applyNumberFormat="1" applyFill="1" applyBorder="1"/>
    <xf numFmtId="15" fontId="0" fillId="0" borderId="0" xfId="0" applyNumberFormat="1"/>
    <xf numFmtId="0" fontId="0" fillId="7" borderId="27" xfId="0" applyFill="1" applyBorder="1"/>
    <xf numFmtId="0" fontId="0" fillId="7" borderId="28" xfId="0" applyFill="1" applyBorder="1" applyAlignment="1">
      <alignment horizontal="right"/>
    </xf>
    <xf numFmtId="0" fontId="0" fillId="0" borderId="29" xfId="0" applyBorder="1"/>
    <xf numFmtId="2" fontId="0" fillId="20" borderId="30" xfId="0" applyNumberFormat="1" applyFill="1" applyBorder="1"/>
    <xf numFmtId="2" fontId="0" fillId="20" borderId="24" xfId="0" applyNumberFormat="1" applyFill="1" applyBorder="1"/>
    <xf numFmtId="0" fontId="1" fillId="0" borderId="31" xfId="0" applyFont="1" applyBorder="1" applyAlignment="1">
      <alignment horizontal="center" vertical="center"/>
    </xf>
    <xf numFmtId="0" fontId="1" fillId="0" borderId="32" xfId="0" applyFont="1" applyBorder="1" applyAlignment="1">
      <alignment horizontal="center" vertical="top" wrapText="1"/>
    </xf>
    <xf numFmtId="0" fontId="1" fillId="0" borderId="32" xfId="0" applyFont="1" applyBorder="1" applyAlignment="1">
      <alignment horizontal="center" wrapText="1"/>
    </xf>
    <xf numFmtId="0" fontId="1" fillId="0" borderId="33" xfId="0" applyFont="1" applyBorder="1" applyAlignment="1">
      <alignment horizontal="center" wrapText="1"/>
    </xf>
    <xf numFmtId="0" fontId="1" fillId="0" borderId="34" xfId="0" applyFont="1" applyBorder="1" applyAlignment="1">
      <alignment horizontal="center" wrapText="1"/>
    </xf>
    <xf numFmtId="2" fontId="0" fillId="0" borderId="35" xfId="0" applyNumberFormat="1" applyBorder="1"/>
    <xf numFmtId="10" fontId="54" fillId="0" borderId="35" xfId="6" applyNumberFormat="1" applyFont="1" applyBorder="1"/>
    <xf numFmtId="9" fontId="54" fillId="0" borderId="20" xfId="0" applyNumberFormat="1" applyFont="1" applyBorder="1"/>
    <xf numFmtId="0" fontId="53" fillId="0" borderId="35" xfId="0" applyFont="1" applyBorder="1"/>
    <xf numFmtId="9" fontId="54" fillId="0" borderId="20" xfId="6" applyFont="1" applyBorder="1"/>
    <xf numFmtId="2" fontId="0" fillId="0" borderId="36" xfId="0" applyNumberFormat="1" applyBorder="1"/>
    <xf numFmtId="10" fontId="54" fillId="0" borderId="36" xfId="6" applyNumberFormat="1" applyFont="1" applyBorder="1"/>
    <xf numFmtId="9" fontId="54" fillId="0" borderId="37" xfId="0" applyNumberFormat="1" applyFont="1" applyBorder="1"/>
    <xf numFmtId="0" fontId="53" fillId="0" borderId="36" xfId="0" applyFont="1" applyBorder="1"/>
    <xf numFmtId="10" fontId="50" fillId="0" borderId="0" xfId="0" applyNumberFormat="1" applyFont="1"/>
    <xf numFmtId="2" fontId="1" fillId="0" borderId="0" xfId="0" applyNumberFormat="1" applyFont="1"/>
    <xf numFmtId="0" fontId="1" fillId="20" borderId="0" xfId="0" applyFont="1" applyFill="1"/>
    <xf numFmtId="0" fontId="1" fillId="20" borderId="0" xfId="0" applyFont="1" applyFill="1" applyAlignment="1">
      <alignment horizontal="right"/>
    </xf>
    <xf numFmtId="178" fontId="1" fillId="20" borderId="0" xfId="0" applyNumberFormat="1" applyFont="1" applyFill="1"/>
    <xf numFmtId="10" fontId="49" fillId="20" borderId="0" xfId="0" applyNumberFormat="1" applyFont="1" applyFill="1"/>
    <xf numFmtId="2" fontId="1" fillId="20" borderId="0" xfId="0" applyNumberFormat="1" applyFont="1" applyFill="1" applyAlignment="1">
      <alignment horizontal="right"/>
    </xf>
    <xf numFmtId="0" fontId="1" fillId="22" borderId="0" xfId="0" applyFont="1" applyFill="1"/>
    <xf numFmtId="166" fontId="1" fillId="22" borderId="0" xfId="6" applyNumberFormat="1" applyFont="1" applyFill="1"/>
    <xf numFmtId="2" fontId="1" fillId="22" borderId="0" xfId="6" applyNumberFormat="1" applyFont="1" applyFill="1"/>
    <xf numFmtId="168" fontId="32" fillId="0" borderId="0" xfId="7" applyNumberFormat="1" applyFont="1" applyAlignment="1">
      <alignment vertical="center"/>
    </xf>
    <xf numFmtId="177" fontId="30" fillId="0" borderId="0" xfId="7" applyNumberFormat="1"/>
    <xf numFmtId="0" fontId="35" fillId="0" borderId="0" xfId="7" applyFont="1" applyAlignment="1">
      <alignment horizontal="left" vertical="center" wrapText="1"/>
    </xf>
    <xf numFmtId="179" fontId="32" fillId="0" borderId="0" xfId="7" applyNumberFormat="1" applyFont="1" applyAlignment="1">
      <alignment vertical="center"/>
    </xf>
    <xf numFmtId="179" fontId="37" fillId="0" borderId="9" xfId="7" applyNumberFormat="1" applyFont="1" applyBorder="1" applyAlignment="1">
      <alignment vertical="center"/>
    </xf>
    <xf numFmtId="179" fontId="37" fillId="0" borderId="8" xfId="7" applyNumberFormat="1" applyFont="1" applyBorder="1" applyAlignment="1">
      <alignment vertical="center"/>
    </xf>
    <xf numFmtId="179" fontId="33" fillId="0" borderId="0" xfId="7" applyNumberFormat="1" applyFont="1" applyAlignment="1">
      <alignment vertical="center"/>
    </xf>
    <xf numFmtId="181" fontId="57" fillId="0" borderId="0" xfId="7" applyNumberFormat="1" applyFont="1"/>
    <xf numFmtId="181" fontId="58" fillId="26" borderId="0" xfId="7" applyNumberFormat="1" applyFont="1" applyFill="1"/>
    <xf numFmtId="0" fontId="2" fillId="10" borderId="0" xfId="0" applyFont="1" applyFill="1" applyAlignment="1">
      <alignment horizontal="right" vertical="center"/>
    </xf>
    <xf numFmtId="0" fontId="8" fillId="9" borderId="0" xfId="0" applyFont="1" applyFill="1"/>
    <xf numFmtId="0" fontId="10" fillId="9" borderId="0" xfId="0" applyFont="1" applyFill="1"/>
    <xf numFmtId="0" fontId="60" fillId="9" borderId="0" xfId="0" applyFont="1" applyFill="1" applyAlignment="1">
      <alignment horizontal="right"/>
    </xf>
    <xf numFmtId="181" fontId="59" fillId="26" borderId="0" xfId="7" applyNumberFormat="1" applyFont="1" applyFill="1"/>
    <xf numFmtId="181" fontId="59" fillId="0" borderId="0" xfId="7" applyNumberFormat="1" applyFont="1"/>
    <xf numFmtId="170" fontId="1" fillId="20" borderId="0" xfId="0" applyNumberFormat="1" applyFont="1" applyFill="1"/>
    <xf numFmtId="0" fontId="0" fillId="20" borderId="0" xfId="0" applyFill="1"/>
    <xf numFmtId="171" fontId="0" fillId="20" borderId="0" xfId="0" applyNumberFormat="1" applyFill="1"/>
    <xf numFmtId="171" fontId="1" fillId="20" borderId="0" xfId="0" applyNumberFormat="1" applyFont="1" applyFill="1"/>
    <xf numFmtId="0" fontId="40" fillId="27" borderId="0" xfId="0" applyFont="1" applyFill="1" applyAlignment="1">
      <alignment vertical="top"/>
    </xf>
    <xf numFmtId="0" fontId="40" fillId="0" borderId="39" xfId="0" applyFont="1" applyBorder="1" applyAlignment="1">
      <alignment vertical="top"/>
    </xf>
    <xf numFmtId="0" fontId="61" fillId="0" borderId="0" xfId="0" applyFont="1" applyAlignment="1">
      <alignment vertical="top"/>
    </xf>
    <xf numFmtId="0" fontId="42" fillId="0" borderId="40" xfId="0" applyFont="1" applyBorder="1" applyAlignment="1">
      <alignment vertical="top"/>
    </xf>
    <xf numFmtId="0" fontId="40" fillId="0" borderId="40" xfId="0" applyFont="1" applyBorder="1" applyAlignment="1">
      <alignment vertical="top"/>
    </xf>
    <xf numFmtId="0" fontId="62" fillId="0" borderId="0" xfId="0" applyFont="1" applyAlignment="1">
      <alignment vertical="top"/>
    </xf>
    <xf numFmtId="0" fontId="63" fillId="28" borderId="9" xfId="0" applyFont="1" applyFill="1" applyBorder="1" applyAlignment="1">
      <alignment vertical="top"/>
    </xf>
    <xf numFmtId="0" fontId="44" fillId="0" borderId="42" xfId="0" applyFont="1" applyBorder="1" applyAlignment="1">
      <alignment vertical="top"/>
    </xf>
    <xf numFmtId="0" fontId="45" fillId="18" borderId="42" xfId="0" applyFont="1" applyFill="1" applyBorder="1" applyAlignment="1">
      <alignment vertical="top"/>
    </xf>
    <xf numFmtId="0" fontId="63" fillId="28" borderId="0" xfId="0" applyFont="1" applyFill="1" applyAlignment="1">
      <alignment vertical="top"/>
    </xf>
    <xf numFmtId="0" fontId="63" fillId="29" borderId="41" xfId="0" applyFont="1" applyFill="1" applyBorder="1" applyAlignment="1">
      <alignment vertical="top"/>
    </xf>
    <xf numFmtId="0" fontId="40" fillId="0" borderId="42" xfId="0" applyFont="1" applyBorder="1" applyAlignment="1">
      <alignment vertical="top" wrapText="1"/>
    </xf>
    <xf numFmtId="0" fontId="40" fillId="0" borderId="43" xfId="0" applyFont="1" applyBorder="1" applyAlignment="1">
      <alignment vertical="top"/>
    </xf>
    <xf numFmtId="0" fontId="44" fillId="29" borderId="0" xfId="0" applyFont="1" applyFill="1" applyAlignment="1">
      <alignment vertical="top"/>
    </xf>
    <xf numFmtId="0" fontId="40" fillId="29" borderId="0" xfId="0" applyFont="1" applyFill="1" applyAlignment="1">
      <alignment vertical="top" wrapText="1"/>
    </xf>
    <xf numFmtId="0" fontId="34" fillId="0" borderId="39" xfId="7" applyFont="1" applyBorder="1" applyAlignment="1">
      <alignment vertical="center"/>
    </xf>
    <xf numFmtId="0" fontId="64" fillId="0" borderId="39" xfId="7" applyFont="1" applyBorder="1" applyAlignment="1">
      <alignment vertical="center"/>
    </xf>
    <xf numFmtId="0" fontId="35" fillId="0" borderId="40" xfId="7" applyFont="1" applyBorder="1" applyAlignment="1">
      <alignment vertical="center"/>
    </xf>
    <xf numFmtId="0" fontId="34" fillId="0" borderId="40" xfId="7" applyFont="1" applyBorder="1" applyAlignment="1">
      <alignment vertical="center"/>
    </xf>
    <xf numFmtId="0" fontId="65" fillId="28" borderId="9" xfId="7" applyFont="1" applyFill="1" applyBorder="1" applyAlignment="1">
      <alignment vertical="center"/>
    </xf>
    <xf numFmtId="0" fontId="65" fillId="28" borderId="8" xfId="7" applyFont="1" applyFill="1" applyBorder="1" applyAlignment="1">
      <alignment vertical="center"/>
    </xf>
    <xf numFmtId="0" fontId="66" fillId="0" borderId="1" xfId="0" applyFont="1" applyBorder="1"/>
    <xf numFmtId="0" fontId="64" fillId="0" borderId="39" xfId="0" applyFont="1" applyBorder="1" applyAlignment="1">
      <alignment vertical="top"/>
    </xf>
    <xf numFmtId="0" fontId="65" fillId="28" borderId="9" xfId="0" applyFont="1" applyFill="1" applyBorder="1" applyAlignment="1">
      <alignment vertical="top"/>
    </xf>
    <xf numFmtId="0" fontId="65" fillId="28" borderId="9" xfId="0" applyFont="1" applyFill="1" applyBorder="1" applyAlignment="1">
      <alignment horizontal="center" vertical="top"/>
    </xf>
    <xf numFmtId="0" fontId="67" fillId="28" borderId="9" xfId="0" applyFont="1" applyFill="1" applyBorder="1" applyAlignment="1">
      <alignment vertical="top" wrapText="1"/>
    </xf>
    <xf numFmtId="0" fontId="65" fillId="28" borderId="8" xfId="0" applyFont="1" applyFill="1" applyBorder="1" applyAlignment="1">
      <alignment vertical="top"/>
    </xf>
    <xf numFmtId="0" fontId="69" fillId="32" borderId="0" xfId="0" applyFont="1" applyFill="1" applyAlignment="1">
      <alignment horizontal="center"/>
    </xf>
    <xf numFmtId="0" fontId="71" fillId="0" borderId="0" xfId="0" applyFont="1" applyAlignment="1">
      <alignment horizontal="right"/>
    </xf>
    <xf numFmtId="2" fontId="71" fillId="0" borderId="0" xfId="6" applyNumberFormat="1" applyFont="1" applyFill="1" applyAlignment="1">
      <alignment horizontal="right"/>
    </xf>
    <xf numFmtId="0" fontId="75" fillId="0" borderId="0" xfId="0" applyFont="1" applyAlignment="1">
      <alignment horizontal="left"/>
    </xf>
    <xf numFmtId="0" fontId="0" fillId="0" borderId="6" xfId="0" applyBorder="1"/>
    <xf numFmtId="0" fontId="70" fillId="0" borderId="6" xfId="0" applyFont="1" applyBorder="1" applyAlignment="1">
      <alignment horizontal="left"/>
    </xf>
    <xf numFmtId="175" fontId="70" fillId="0" borderId="6" xfId="0" applyNumberFormat="1" applyFont="1" applyBorder="1" applyAlignment="1">
      <alignment horizontal="center"/>
    </xf>
    <xf numFmtId="0" fontId="71" fillId="0" borderId="6" xfId="0" applyFont="1" applyBorder="1" applyAlignment="1">
      <alignment horizontal="left"/>
    </xf>
    <xf numFmtId="2" fontId="72" fillId="30" borderId="6" xfId="6" applyNumberFormat="1" applyFont="1" applyFill="1" applyBorder="1" applyAlignment="1">
      <alignment horizontal="center"/>
    </xf>
    <xf numFmtId="167" fontId="72" fillId="30" borderId="6" xfId="6" applyNumberFormat="1" applyFont="1" applyFill="1" applyBorder="1" applyAlignment="1">
      <alignment horizontal="center"/>
    </xf>
    <xf numFmtId="0" fontId="71" fillId="0" borderId="44" xfId="0" applyFont="1" applyBorder="1" applyAlignment="1">
      <alignment horizontal="left"/>
    </xf>
    <xf numFmtId="168" fontId="73" fillId="0" borderId="44" xfId="0" applyNumberFormat="1" applyFont="1" applyBorder="1" applyAlignment="1">
      <alignment horizontal="center"/>
    </xf>
    <xf numFmtId="166" fontId="74" fillId="0" borderId="6" xfId="6" applyNumberFormat="1" applyFont="1" applyFill="1" applyBorder="1" applyAlignment="1">
      <alignment horizontal="center"/>
    </xf>
    <xf numFmtId="0" fontId="0" fillId="0" borderId="5" xfId="0" applyBorder="1"/>
    <xf numFmtId="17" fontId="69" fillId="32" borderId="5" xfId="0" applyNumberFormat="1" applyFont="1" applyFill="1" applyBorder="1" applyAlignment="1">
      <alignment horizontal="center"/>
    </xf>
    <xf numFmtId="3" fontId="0" fillId="0" borderId="0" xfId="0" applyNumberFormat="1"/>
    <xf numFmtId="168" fontId="0" fillId="0" borderId="0" xfId="0" applyNumberFormat="1"/>
    <xf numFmtId="182" fontId="0" fillId="0" borderId="0" xfId="0" applyNumberFormat="1"/>
    <xf numFmtId="176" fontId="32" fillId="18" borderId="10" xfId="7" applyNumberFormat="1" applyFont="1" applyFill="1" applyBorder="1" applyAlignment="1">
      <alignment horizontal="center" vertical="center"/>
    </xf>
    <xf numFmtId="0" fontId="86" fillId="0" borderId="0" xfId="0" applyFont="1"/>
    <xf numFmtId="0" fontId="42" fillId="0" borderId="0" xfId="0" applyFont="1"/>
    <xf numFmtId="0" fontId="87" fillId="0" borderId="0" xfId="0" applyFont="1"/>
    <xf numFmtId="10" fontId="45" fillId="0" borderId="0" xfId="0" applyNumberFormat="1" applyFont="1"/>
    <xf numFmtId="0" fontId="88" fillId="0" borderId="0" xfId="0" applyFont="1"/>
    <xf numFmtId="10" fontId="87" fillId="0" borderId="0" xfId="0" applyNumberFormat="1" applyFont="1"/>
    <xf numFmtId="10" fontId="88" fillId="17" borderId="0" xfId="0" applyNumberFormat="1" applyFont="1" applyFill="1"/>
    <xf numFmtId="10" fontId="82" fillId="0" borderId="0" xfId="6" applyNumberFormat="1" applyFont="1"/>
    <xf numFmtId="0" fontId="63" fillId="28" borderId="45" xfId="0" applyFont="1" applyFill="1" applyBorder="1"/>
    <xf numFmtId="0" fontId="0" fillId="28" borderId="45" xfId="0" applyFill="1" applyBorder="1"/>
    <xf numFmtId="0" fontId="87" fillId="0" borderId="45" xfId="0" applyFont="1" applyBorder="1"/>
    <xf numFmtId="10" fontId="45" fillId="0" borderId="45" xfId="0" applyNumberFormat="1" applyFont="1" applyBorder="1"/>
    <xf numFmtId="10" fontId="87" fillId="0" borderId="45" xfId="0" applyNumberFormat="1" applyFont="1" applyBorder="1"/>
    <xf numFmtId="0" fontId="88" fillId="0" borderId="46" xfId="0" applyFont="1" applyBorder="1"/>
    <xf numFmtId="10" fontId="88" fillId="18" borderId="47" xfId="0" applyNumberFormat="1" applyFont="1" applyFill="1" applyBorder="1"/>
    <xf numFmtId="0" fontId="2" fillId="10" borderId="0" xfId="0" applyFont="1" applyFill="1" applyAlignment="1">
      <alignment horizontal="center" vertical="center"/>
    </xf>
    <xf numFmtId="169" fontId="2" fillId="8" borderId="2" xfId="0" applyNumberFormat="1" applyFont="1" applyFill="1" applyBorder="1" applyAlignment="1">
      <alignment horizontal="center"/>
    </xf>
    <xf numFmtId="0" fontId="2" fillId="8" borderId="38" xfId="0" applyFont="1" applyFill="1" applyBorder="1" applyAlignment="1">
      <alignment horizontal="center"/>
    </xf>
    <xf numFmtId="0" fontId="2" fillId="8" borderId="0" xfId="0" applyFont="1" applyFill="1" applyAlignment="1">
      <alignment horizontal="center"/>
    </xf>
    <xf numFmtId="2" fontId="90" fillId="11" borderId="48" xfId="0" applyNumberFormat="1" applyFont="1" applyFill="1" applyBorder="1" applyAlignment="1">
      <alignment horizontal="center"/>
    </xf>
    <xf numFmtId="2" fontId="83" fillId="17" borderId="49" xfId="0" applyNumberFormat="1" applyFont="1" applyFill="1" applyBorder="1" applyAlignment="1">
      <alignment horizontal="center"/>
    </xf>
    <xf numFmtId="2" fontId="83" fillId="17" borderId="50" xfId="0" applyNumberFormat="1" applyFont="1" applyFill="1" applyBorder="1" applyAlignment="1">
      <alignment horizontal="center"/>
    </xf>
    <xf numFmtId="182" fontId="90" fillId="11" borderId="48" xfId="0" applyNumberFormat="1" applyFont="1" applyFill="1" applyBorder="1" applyAlignment="1">
      <alignment horizontal="center"/>
    </xf>
    <xf numFmtId="182" fontId="83" fillId="17" borderId="49" xfId="0" applyNumberFormat="1" applyFont="1" applyFill="1" applyBorder="1" applyAlignment="1">
      <alignment horizontal="center"/>
    </xf>
    <xf numFmtId="182" fontId="83" fillId="17" borderId="50" xfId="0" applyNumberFormat="1" applyFont="1" applyFill="1" applyBorder="1" applyAlignment="1">
      <alignment horizontal="center"/>
    </xf>
    <xf numFmtId="183" fontId="90" fillId="11" borderId="48" xfId="0" applyNumberFormat="1" applyFont="1" applyFill="1" applyBorder="1" applyAlignment="1">
      <alignment horizontal="center"/>
    </xf>
    <xf numFmtId="183" fontId="83" fillId="17" borderId="49" xfId="0" applyNumberFormat="1" applyFont="1" applyFill="1" applyBorder="1" applyAlignment="1">
      <alignment horizontal="center"/>
    </xf>
    <xf numFmtId="183" fontId="83" fillId="17" borderId="50" xfId="0" applyNumberFormat="1" applyFont="1" applyFill="1" applyBorder="1" applyAlignment="1">
      <alignment horizontal="center"/>
    </xf>
    <xf numFmtId="0" fontId="89" fillId="11" borderId="51" xfId="0" applyFont="1" applyFill="1" applyBorder="1" applyAlignment="1">
      <alignment horizontal="center"/>
    </xf>
    <xf numFmtId="0" fontId="81" fillId="17" borderId="52" xfId="0" applyFont="1" applyFill="1" applyBorder="1" applyAlignment="1">
      <alignment horizontal="center"/>
    </xf>
    <xf numFmtId="0" fontId="81" fillId="17" borderId="53" xfId="0" applyFont="1" applyFill="1" applyBorder="1" applyAlignment="1">
      <alignment horizontal="center"/>
    </xf>
    <xf numFmtId="3" fontId="90" fillId="11" borderId="48" xfId="0" applyNumberFormat="1" applyFont="1" applyFill="1" applyBorder="1" applyAlignment="1">
      <alignment horizontal="center"/>
    </xf>
    <xf numFmtId="3" fontId="83" fillId="17" borderId="49" xfId="0" applyNumberFormat="1" applyFont="1" applyFill="1" applyBorder="1" applyAlignment="1">
      <alignment horizontal="center"/>
    </xf>
    <xf numFmtId="3" fontId="83" fillId="17" borderId="50" xfId="0" applyNumberFormat="1" applyFont="1" applyFill="1" applyBorder="1" applyAlignment="1">
      <alignment horizontal="center"/>
    </xf>
    <xf numFmtId="166" fontId="90" fillId="11" borderId="48" xfId="0" applyNumberFormat="1" applyFont="1" applyFill="1" applyBorder="1" applyAlignment="1">
      <alignment horizontal="center"/>
    </xf>
    <xf numFmtId="166" fontId="83" fillId="17" borderId="49" xfId="0" applyNumberFormat="1" applyFont="1" applyFill="1" applyBorder="1" applyAlignment="1">
      <alignment horizontal="center"/>
    </xf>
    <xf numFmtId="166" fontId="83" fillId="17" borderId="50" xfId="0" applyNumberFormat="1" applyFont="1" applyFill="1" applyBorder="1" applyAlignment="1">
      <alignment horizontal="center"/>
    </xf>
    <xf numFmtId="0" fontId="77" fillId="32" borderId="0" xfId="0" applyFont="1" applyFill="1" applyAlignment="1">
      <alignment horizontal="left"/>
    </xf>
    <xf numFmtId="0" fontId="78" fillId="32" borderId="0" xfId="0" applyFont="1" applyFill="1"/>
    <xf numFmtId="0" fontId="79" fillId="33" borderId="0" xfId="0" applyFont="1" applyFill="1"/>
    <xf numFmtId="0" fontId="80" fillId="17" borderId="0" xfId="0" applyFont="1" applyFill="1"/>
    <xf numFmtId="0" fontId="40" fillId="0" borderId="9" xfId="0" applyFont="1" applyBorder="1" applyAlignment="1">
      <alignment vertical="top" wrapText="1"/>
    </xf>
    <xf numFmtId="0" fontId="40" fillId="0" borderId="0" xfId="0" applyFont="1" applyAlignment="1">
      <alignment vertical="top" wrapText="1"/>
    </xf>
    <xf numFmtId="49" fontId="40" fillId="0" borderId="9" xfId="0" applyNumberFormat="1" applyFont="1" applyBorder="1" applyAlignment="1">
      <alignment horizontal="left" vertical="top" wrapText="1"/>
    </xf>
    <xf numFmtId="16" fontId="40" fillId="0" borderId="9" xfId="0" applyNumberFormat="1" applyFont="1" applyBorder="1" applyAlignment="1">
      <alignment vertical="top" wrapText="1"/>
    </xf>
    <xf numFmtId="164" fontId="4" fillId="0" borderId="0" xfId="2" applyNumberFormat="1" applyBorder="1" applyAlignment="1" applyProtection="1">
      <alignment horizontal="center"/>
    </xf>
    <xf numFmtId="164" fontId="2" fillId="4" borderId="0" xfId="5" applyNumberFormat="1" applyFont="1" applyBorder="1" applyAlignment="1">
      <alignment horizontal="center"/>
    </xf>
    <xf numFmtId="0" fontId="21" fillId="15" borderId="0" xfId="0" applyFont="1" applyFill="1" applyAlignment="1">
      <alignment horizontal="left" vertical="center" indent="1"/>
    </xf>
    <xf numFmtId="0" fontId="27" fillId="0" borderId="0" xfId="0" applyFont="1" applyAlignment="1">
      <alignment horizontal="left" vertical="center"/>
    </xf>
    <xf numFmtId="0" fontId="29" fillId="0" borderId="0" xfId="0" applyFont="1" applyAlignment="1">
      <alignment horizontal="left" vertical="center" indent="1"/>
    </xf>
    <xf numFmtId="0" fontId="18" fillId="15" borderId="0" xfId="0" applyFont="1" applyFill="1" applyAlignment="1">
      <alignment horizontal="left" vertical="center" indent="1"/>
    </xf>
    <xf numFmtId="0" fontId="29" fillId="0" borderId="0" xfId="0" applyFont="1" applyAlignment="1">
      <alignment horizontal="left" vertical="center"/>
    </xf>
    <xf numFmtId="0" fontId="18" fillId="14" borderId="0" xfId="0" applyFont="1" applyFill="1" applyAlignment="1">
      <alignment horizontal="left" vertical="center" indent="1"/>
    </xf>
    <xf numFmtId="0" fontId="2" fillId="21" borderId="0" xfId="0" applyFont="1" applyFill="1" applyAlignment="1">
      <alignment horizontal="center"/>
    </xf>
    <xf numFmtId="0" fontId="68" fillId="31" borderId="6" xfId="0" applyFont="1" applyFill="1" applyBorder="1" applyAlignment="1">
      <alignment horizontal="left"/>
    </xf>
    <xf numFmtId="0" fontId="26" fillId="0" borderId="0" xfId="0" applyFont="1" applyAlignment="1">
      <alignment horizontal="left" vertical="top" wrapText="1"/>
    </xf>
    <xf numFmtId="0" fontId="2" fillId="21" borderId="17" xfId="0" applyFont="1" applyFill="1" applyBorder="1" applyAlignment="1">
      <alignment horizontal="center" vertical="center"/>
    </xf>
    <xf numFmtId="0" fontId="2" fillId="21" borderId="18" xfId="0" applyFont="1" applyFill="1" applyBorder="1" applyAlignment="1">
      <alignment horizontal="center" vertical="center"/>
    </xf>
    <xf numFmtId="0" fontId="2" fillId="21" borderId="0" xfId="0" applyFont="1" applyFill="1" applyAlignment="1">
      <alignment horizontal="center" vertical="center"/>
    </xf>
    <xf numFmtId="0" fontId="1" fillId="7" borderId="12" xfId="0" applyFont="1" applyFill="1" applyBorder="1" applyAlignment="1">
      <alignment horizontal="center"/>
    </xf>
    <xf numFmtId="0" fontId="1" fillId="7" borderId="13" xfId="0" applyFont="1" applyFill="1" applyBorder="1" applyAlignment="1">
      <alignment horizontal="center"/>
    </xf>
    <xf numFmtId="0" fontId="1" fillId="7" borderId="14" xfId="0" applyFont="1" applyFill="1" applyBorder="1" applyAlignment="1">
      <alignment horizontal="center"/>
    </xf>
    <xf numFmtId="0" fontId="35" fillId="0" borderId="0" xfId="7" applyFont="1" applyAlignment="1">
      <alignment horizontal="left" vertical="top" wrapText="1"/>
    </xf>
    <xf numFmtId="0" fontId="76" fillId="0" borderId="0" xfId="0" applyFont="1" applyFill="1" applyAlignment="1">
      <alignment horizontal="left"/>
    </xf>
  </cellXfs>
  <cellStyles count="14">
    <cellStyle name="60% - Accent1" xfId="3" builtinId="32"/>
    <cellStyle name="60% - Accent3" xfId="4" builtinId="40"/>
    <cellStyle name="Accent6" xfId="5" builtinId="49"/>
    <cellStyle name="Comma" xfId="1" builtinId="3"/>
    <cellStyle name="Comma 2" xfId="8" xr:uid="{75C8CA54-7ED7-4F9A-B4F1-0BF7286E4742}"/>
    <cellStyle name="Excel Built-in 60% - Accent1" xfId="11" xr:uid="{8FD9829F-9663-48B1-8B05-34D6EBBEC0C8}"/>
    <cellStyle name="Excel Built-in 60% - Accent3" xfId="12" xr:uid="{F2116D53-C3DE-421F-9743-4E3B69A1B3D0}"/>
    <cellStyle name="Excel Built-in Accent6" xfId="13" xr:uid="{3B862B1C-89EE-458B-986B-E01788A5E2F4}"/>
    <cellStyle name="Hyperlink" xfId="2" builtinId="8"/>
    <cellStyle name="Hyperlink 2" xfId="10" xr:uid="{DF38EE0B-921E-4158-90D6-A6E3647B0956}"/>
    <cellStyle name="Normal" xfId="0" builtinId="0"/>
    <cellStyle name="Normal 2" xfId="7" xr:uid="{013758A4-FF78-4AAA-9F3C-FD5549DDC8E4}"/>
    <cellStyle name="Percent" xfId="6" builtinId="5"/>
    <cellStyle name="Percent 2" xfId="9" xr:uid="{2DE840DB-A3AC-4C9E-AB09-6AA3EAF62516}"/>
  </cellStyles>
  <dxfs count="41">
    <dxf>
      <font>
        <b/>
        <color rgb="FF1E6B34"/>
      </font>
      <fill>
        <patternFill>
          <bgColor rgb="FFC6E8CE"/>
        </patternFill>
      </fill>
    </dxf>
    <dxf>
      <font>
        <b/>
        <color rgb="FF9C0006"/>
      </font>
      <fill>
        <patternFill>
          <bgColor rgb="FFF8CBCB"/>
        </patternFill>
      </fill>
    </dxf>
    <dxf>
      <font>
        <b/>
        <color rgb="FF1E6B34"/>
      </font>
      <fill>
        <patternFill>
          <bgColor rgb="FFC6E8CE"/>
        </patternFill>
      </fill>
    </dxf>
    <dxf>
      <font>
        <b/>
        <color rgb="FF9C0006"/>
      </font>
      <fill>
        <patternFill>
          <bgColor rgb="FFF8CBCB"/>
        </patternFill>
      </fill>
    </dxf>
    <dxf>
      <font>
        <color rgb="FF1E6B34"/>
      </font>
      <fill>
        <patternFill patternType="solid">
          <fgColor indexed="64"/>
          <bgColor rgb="FFC6E8CE"/>
        </patternFill>
      </fill>
    </dxf>
    <dxf>
      <font>
        <color rgb="FF7F6000"/>
      </font>
      <fill>
        <patternFill patternType="solid">
          <fgColor indexed="64"/>
          <bgColor rgb="FFFFE699"/>
        </patternFill>
      </fill>
    </dxf>
    <dxf>
      <font>
        <color rgb="FF9C0006"/>
      </font>
      <fill>
        <patternFill patternType="solid">
          <fgColor indexed="64"/>
          <bgColor rgb="FFF8CBCB"/>
        </patternFill>
      </fill>
    </dxf>
    <dxf>
      <font>
        <color rgb="FF1E6B34"/>
      </font>
      <fill>
        <patternFill patternType="solid">
          <fgColor indexed="64"/>
          <bgColor rgb="FFC6E8CE"/>
        </patternFill>
      </fill>
    </dxf>
    <dxf>
      <font>
        <color rgb="FF7F6000"/>
      </font>
      <fill>
        <patternFill patternType="solid">
          <fgColor indexed="64"/>
          <bgColor rgb="FFFFE699"/>
        </patternFill>
      </fill>
    </dxf>
    <dxf>
      <font>
        <color rgb="FF9C0006"/>
      </font>
      <fill>
        <patternFill patternType="solid">
          <fgColor indexed="64"/>
          <bgColor rgb="FFF8CBCB"/>
        </patternFill>
      </fill>
    </dxf>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Arial"/>
                <a:ea typeface="Arial"/>
                <a:cs typeface="Arial"/>
              </a:defRPr>
            </a:pPr>
            <a:r>
              <a:rPr lang="en-US"/>
              <a:t>Revenue &amp; Net Profit (FY17–FY26)</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Arial"/>
              <a:ea typeface="Arial"/>
              <a:cs typeface="Arial"/>
            </a:defRPr>
          </a:pPr>
          <a:endParaRPr lang="en-US"/>
        </a:p>
      </c:txPr>
    </c:title>
    <c:autoTitleDeleted val="0"/>
    <c:plotArea>
      <c:layout/>
      <c:lineChart>
        <c:grouping val="standard"/>
        <c:varyColors val="0"/>
        <c:ser>
          <c:idx val="0"/>
          <c:order val="0"/>
          <c:tx>
            <c:strRef>
              <c:f>Dashboard!$B$100</c:f>
              <c:strCache>
                <c:ptCount val="1"/>
                <c:pt idx="0">
                  <c:v>Revenue (Rs. cr)</c:v>
                </c:pt>
              </c:strCache>
            </c:strRef>
          </c:tx>
          <c:spPr>
            <a:ln w="31750" cap="rnd">
              <a:solidFill>
                <a:srgbClr val="1F3864"/>
              </a:solidFill>
              <a:prstDash val="solid"/>
              <a:round/>
            </a:ln>
            <a:effectLst/>
          </c:spPr>
          <c:marker>
            <c:symbol val="none"/>
          </c:marker>
          <c:cat>
            <c:strRef>
              <c:f>Dashboard!$A$101:$A$110</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Dashboard!$B$101:$B$110</c:f>
              <c:numCache>
                <c:formatCode>#,##0</c:formatCode>
                <c:ptCount val="10"/>
                <c:pt idx="0">
                  <c:v>33162</c:v>
                </c:pt>
                <c:pt idx="1">
                  <c:v>35545</c:v>
                </c:pt>
                <c:pt idx="2">
                  <c:v>39310</c:v>
                </c:pt>
                <c:pt idx="3">
                  <c:v>39783</c:v>
                </c:pt>
                <c:pt idx="4">
                  <c:v>47028</c:v>
                </c:pt>
                <c:pt idx="5">
                  <c:v>52446</c:v>
                </c:pt>
                <c:pt idx="6">
                  <c:v>60580</c:v>
                </c:pt>
                <c:pt idx="7">
                  <c:v>61896</c:v>
                </c:pt>
                <c:pt idx="8">
                  <c:v>61328</c:v>
                </c:pt>
                <c:pt idx="9">
                  <c:v>64468</c:v>
                </c:pt>
              </c:numCache>
            </c:numRef>
          </c:val>
          <c:smooth val="0"/>
          <c:extLst>
            <c:ext xmlns:c16="http://schemas.microsoft.com/office/drawing/2014/chart" uri="{C3380CC4-5D6E-409C-BE32-E72D297353CC}">
              <c16:uniqueId val="{00000000-1F5B-4412-B042-C76E0CF9A0CF}"/>
            </c:ext>
          </c:extLst>
        </c:ser>
        <c:ser>
          <c:idx val="1"/>
          <c:order val="1"/>
          <c:tx>
            <c:strRef>
              <c:f>Dashboard!$C$100</c:f>
              <c:strCache>
                <c:ptCount val="1"/>
                <c:pt idx="0">
                  <c:v>Net Profit (Rs. cr)</c:v>
                </c:pt>
              </c:strCache>
            </c:strRef>
          </c:tx>
          <c:spPr>
            <a:ln w="31750" cap="rnd">
              <a:solidFill>
                <a:srgbClr val="C00000"/>
              </a:solidFill>
              <a:prstDash val="solid"/>
              <a:round/>
            </a:ln>
            <a:effectLst/>
          </c:spPr>
          <c:marker>
            <c:symbol val="none"/>
          </c:marker>
          <c:cat>
            <c:strRef>
              <c:f>Dashboard!$A$101:$A$110</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Dashboard!$C$101:$C$110</c:f>
              <c:numCache>
                <c:formatCode>#,##0</c:formatCode>
                <c:ptCount val="10"/>
                <c:pt idx="0">
                  <c:v>4476</c:v>
                </c:pt>
                <c:pt idx="1">
                  <c:v>5214</c:v>
                </c:pt>
                <c:pt idx="2">
                  <c:v>6054</c:v>
                </c:pt>
                <c:pt idx="3">
                  <c:v>6748</c:v>
                </c:pt>
                <c:pt idx="4">
                  <c:v>7995</c:v>
                </c:pt>
                <c:pt idx="5">
                  <c:v>8879</c:v>
                </c:pt>
                <c:pt idx="6">
                  <c:v>10120</c:v>
                </c:pt>
                <c:pt idx="7">
                  <c:v>10277</c:v>
                </c:pt>
                <c:pt idx="8">
                  <c:v>10649</c:v>
                </c:pt>
                <c:pt idx="9">
                  <c:v>15040</c:v>
                </c:pt>
              </c:numCache>
            </c:numRef>
          </c:val>
          <c:smooth val="0"/>
          <c:extLst>
            <c:ext xmlns:c16="http://schemas.microsoft.com/office/drawing/2014/chart" uri="{C3380CC4-5D6E-409C-BE32-E72D297353CC}">
              <c16:uniqueId val="{00000001-1F5B-4412-B042-C76E0CF9A0CF}"/>
            </c:ext>
          </c:extLst>
        </c:ser>
        <c:dLbls>
          <c:showLegendKey val="0"/>
          <c:showVal val="0"/>
          <c:showCatName val="0"/>
          <c:showSerName val="0"/>
          <c:showPercent val="0"/>
          <c:showBubbleSize val="0"/>
        </c:dLbls>
        <c:smooth val="0"/>
        <c:axId val="2017742192"/>
        <c:axId val="138297296"/>
      </c:lineChart>
      <c:catAx>
        <c:axId val="201774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138297296"/>
        <c:crosses val="autoZero"/>
        <c:auto val="1"/>
        <c:lblAlgn val="ctr"/>
        <c:lblOffset val="100"/>
        <c:noMultiLvlLbl val="0"/>
      </c:catAx>
      <c:valAx>
        <c:axId val="138297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2017742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rgbClr val="404040"/>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r>
              <a:rPr lang="en-US"/>
              <a:t>Operating &amp; Net Profit Margin (FY17–FY26)</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endParaRPr lang="en-US"/>
        </a:p>
      </c:txPr>
    </c:title>
    <c:autoTitleDeleted val="0"/>
    <c:plotArea>
      <c:layout/>
      <c:lineChart>
        <c:grouping val="standard"/>
        <c:varyColors val="0"/>
        <c:ser>
          <c:idx val="0"/>
          <c:order val="0"/>
          <c:tx>
            <c:strRef>
              <c:f>Dashboard!$B$112</c:f>
              <c:strCache>
                <c:ptCount val="1"/>
                <c:pt idx="0">
                  <c:v>Operating Profit Margin</c:v>
                </c:pt>
              </c:strCache>
            </c:strRef>
          </c:tx>
          <c:spPr>
            <a:ln w="31750" cap="rnd">
              <a:solidFill>
                <a:srgbClr val="1F3864"/>
              </a:solidFill>
              <a:prstDash val="solid"/>
              <a:round/>
            </a:ln>
            <a:effectLst/>
          </c:spPr>
          <c:marker>
            <c:symbol val="none"/>
          </c:marker>
          <c:cat>
            <c:strRef>
              <c:f>Dashboard!$A$113:$A$122</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Dashboard!$B$113:$B$122</c:f>
              <c:numCache>
                <c:formatCode>0.0%</c:formatCode>
                <c:ptCount val="10"/>
                <c:pt idx="0">
                  <c:v>0.19606778843254327</c:v>
                </c:pt>
                <c:pt idx="1">
                  <c:v>0.20627373751582501</c:v>
                </c:pt>
                <c:pt idx="2">
                  <c:v>0.21971508522004579</c:v>
                </c:pt>
                <c:pt idx="3">
                  <c:v>0.233340874242767</c:v>
                </c:pt>
                <c:pt idx="4">
                  <c:v>0.22799183465169687</c:v>
                </c:pt>
                <c:pt idx="5">
                  <c:v>0.22852076421462075</c:v>
                </c:pt>
                <c:pt idx="6">
                  <c:v>0.22215252558600199</c:v>
                </c:pt>
                <c:pt idx="7">
                  <c:v>0.23038645469820343</c:v>
                </c:pt>
                <c:pt idx="8">
                  <c:v>0.24132533263762065</c:v>
                </c:pt>
                <c:pt idx="9">
                  <c:v>0.28896506794068377</c:v>
                </c:pt>
              </c:numCache>
            </c:numRef>
          </c:val>
          <c:smooth val="0"/>
          <c:extLst>
            <c:ext xmlns:c16="http://schemas.microsoft.com/office/drawing/2014/chart" uri="{C3380CC4-5D6E-409C-BE32-E72D297353CC}">
              <c16:uniqueId val="{00000000-191A-438C-A423-49C4B3824CE0}"/>
            </c:ext>
          </c:extLst>
        </c:ser>
        <c:ser>
          <c:idx val="1"/>
          <c:order val="1"/>
          <c:tx>
            <c:strRef>
              <c:f>Dashboard!$C$112</c:f>
              <c:strCache>
                <c:ptCount val="1"/>
                <c:pt idx="0">
                  <c:v>Net Profit Margin</c:v>
                </c:pt>
              </c:strCache>
            </c:strRef>
          </c:tx>
          <c:spPr>
            <a:ln w="31750" cap="rnd">
              <a:solidFill>
                <a:srgbClr val="C00000"/>
              </a:solidFill>
              <a:prstDash val="solid"/>
              <a:round/>
            </a:ln>
            <a:effectLst/>
          </c:spPr>
          <c:marker>
            <c:symbol val="none"/>
          </c:marker>
          <c:cat>
            <c:strRef>
              <c:f>Dashboard!$A$113:$A$122</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Dashboard!$C$113:$C$122</c:f>
              <c:numCache>
                <c:formatCode>0.0%</c:formatCode>
                <c:ptCount val="10"/>
                <c:pt idx="0">
                  <c:v>0.13497376515288584</c:v>
                </c:pt>
                <c:pt idx="1">
                  <c:v>0.14668729779153186</c:v>
                </c:pt>
                <c:pt idx="2">
                  <c:v>0.15400661409310609</c:v>
                </c:pt>
                <c:pt idx="3">
                  <c:v>0.16962018952819044</c:v>
                </c:pt>
                <c:pt idx="4">
                  <c:v>0.17000510334268945</c:v>
                </c:pt>
                <c:pt idx="5">
                  <c:v>0.16929794455249209</c:v>
                </c:pt>
                <c:pt idx="6">
                  <c:v>0.16705183228788378</c:v>
                </c:pt>
                <c:pt idx="7">
                  <c:v>0.16603657748481324</c:v>
                </c:pt>
                <c:pt idx="8">
                  <c:v>0.17364009913905556</c:v>
                </c:pt>
                <c:pt idx="9">
                  <c:v>0.23329403735186449</c:v>
                </c:pt>
              </c:numCache>
            </c:numRef>
          </c:val>
          <c:smooth val="0"/>
          <c:extLst>
            <c:ext xmlns:c16="http://schemas.microsoft.com/office/drawing/2014/chart" uri="{C3380CC4-5D6E-409C-BE32-E72D297353CC}">
              <c16:uniqueId val="{00000001-191A-438C-A423-49C4B3824CE0}"/>
            </c:ext>
          </c:extLst>
        </c:ser>
        <c:dLbls>
          <c:showLegendKey val="0"/>
          <c:showVal val="0"/>
          <c:showCatName val="0"/>
          <c:showSerName val="0"/>
          <c:showPercent val="0"/>
          <c:showBubbleSize val="0"/>
        </c:dLbls>
        <c:smooth val="0"/>
        <c:axId val="2022223120"/>
        <c:axId val="138176336"/>
      </c:lineChart>
      <c:catAx>
        <c:axId val="202222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138176336"/>
        <c:crosses val="autoZero"/>
        <c:auto val="1"/>
        <c:lblAlgn val="ctr"/>
        <c:lblOffset val="100"/>
        <c:noMultiLvlLbl val="0"/>
      </c:catAx>
      <c:valAx>
        <c:axId val="1381763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2022223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rgbClr val="404040"/>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r>
              <a:rPr lang="en-US"/>
              <a:t>ROA / ROE / ROCE (FY17–FY26)</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endParaRPr lang="en-US"/>
        </a:p>
      </c:txPr>
    </c:title>
    <c:autoTitleDeleted val="0"/>
    <c:plotArea>
      <c:layout/>
      <c:lineChart>
        <c:grouping val="standard"/>
        <c:varyColors val="0"/>
        <c:ser>
          <c:idx val="0"/>
          <c:order val="0"/>
          <c:tx>
            <c:strRef>
              <c:f>Dashboard!$B$124</c:f>
              <c:strCache>
                <c:ptCount val="1"/>
                <c:pt idx="0">
                  <c:v>ROA</c:v>
                </c:pt>
              </c:strCache>
            </c:strRef>
          </c:tx>
          <c:spPr>
            <a:ln w="31750" cap="rnd">
              <a:solidFill>
                <a:srgbClr val="1F3864"/>
              </a:solidFill>
              <a:prstDash val="solid"/>
              <a:round/>
            </a:ln>
            <a:effectLst/>
          </c:spPr>
          <c:marker>
            <c:symbol val="none"/>
          </c:marker>
          <c:cat>
            <c:strRef>
              <c:f>Dashboard!$A$125:$A$134</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Dashboard!$B$125:$B$134</c:f>
              <c:numCache>
                <c:formatCode>0.0%</c:formatCode>
                <c:ptCount val="10"/>
                <c:pt idx="0">
                  <c:v>0.28498662931363811</c:v>
                </c:pt>
                <c:pt idx="1">
                  <c:v>0.31065300285986652</c:v>
                </c:pt>
                <c:pt idx="2">
                  <c:v>0.33180784302978816</c:v>
                </c:pt>
                <c:pt idx="3">
                  <c:v>0.34799649321850346</c:v>
                </c:pt>
                <c:pt idx="4">
                  <c:v>0.17987918058789781</c:v>
                </c:pt>
                <c:pt idx="5">
                  <c:v>0.12752969564655359</c:v>
                </c:pt>
                <c:pt idx="6">
                  <c:v>0.14096376311958936</c:v>
                </c:pt>
                <c:pt idx="7">
                  <c:v>0.1356108889856564</c:v>
                </c:pt>
                <c:pt idx="8">
                  <c:v>0.13449782762453269</c:v>
                </c:pt>
                <c:pt idx="9">
                  <c:v>0.1884699970551563</c:v>
                </c:pt>
              </c:numCache>
            </c:numRef>
          </c:val>
          <c:smooth val="0"/>
          <c:extLst>
            <c:ext xmlns:c16="http://schemas.microsoft.com/office/drawing/2014/chart" uri="{C3380CC4-5D6E-409C-BE32-E72D297353CC}">
              <c16:uniqueId val="{00000000-4348-4414-92EC-8CD2F1E272A8}"/>
            </c:ext>
          </c:extLst>
        </c:ser>
        <c:ser>
          <c:idx val="1"/>
          <c:order val="1"/>
          <c:tx>
            <c:strRef>
              <c:f>Dashboard!$C$124</c:f>
              <c:strCache>
                <c:ptCount val="1"/>
                <c:pt idx="0">
                  <c:v>ROE</c:v>
                </c:pt>
              </c:strCache>
            </c:strRef>
          </c:tx>
          <c:spPr>
            <a:ln w="31750" cap="rnd">
              <a:solidFill>
                <a:srgbClr val="C00000"/>
              </a:solidFill>
              <a:prstDash val="solid"/>
              <a:round/>
            </a:ln>
            <a:effectLst/>
          </c:spPr>
          <c:marker>
            <c:symbol val="none"/>
          </c:marker>
          <c:cat>
            <c:strRef>
              <c:f>Dashboard!$A$125:$A$134</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Dashboard!$C$125:$C$134</c:f>
              <c:numCache>
                <c:formatCode>0.0%</c:formatCode>
                <c:ptCount val="10"/>
                <c:pt idx="0">
                  <c:v>0.66370106761565839</c:v>
                </c:pt>
                <c:pt idx="1">
                  <c:v>0.74352941176470588</c:v>
                </c:pt>
                <c:pt idx="2">
                  <c:v>0.79931344071824662</c:v>
                </c:pt>
                <c:pt idx="3">
                  <c:v>0.83846918489065603</c:v>
                </c:pt>
                <c:pt idx="4">
                  <c:v>0.28603116111836574</c:v>
                </c:pt>
                <c:pt idx="5">
                  <c:v>0.18357368067400631</c:v>
                </c:pt>
                <c:pt idx="6">
                  <c:v>0.20369345342927589</c:v>
                </c:pt>
                <c:pt idx="7">
                  <c:v>0.20245858040621736</c:v>
                </c:pt>
                <c:pt idx="8">
                  <c:v>0.21166766050486982</c:v>
                </c:pt>
                <c:pt idx="9">
                  <c:v>0.30649779399027927</c:v>
                </c:pt>
              </c:numCache>
            </c:numRef>
          </c:val>
          <c:smooth val="0"/>
          <c:extLst>
            <c:ext xmlns:c16="http://schemas.microsoft.com/office/drawing/2014/chart" uri="{C3380CC4-5D6E-409C-BE32-E72D297353CC}">
              <c16:uniqueId val="{00000001-4348-4414-92EC-8CD2F1E272A8}"/>
            </c:ext>
          </c:extLst>
        </c:ser>
        <c:ser>
          <c:idx val="2"/>
          <c:order val="2"/>
          <c:tx>
            <c:strRef>
              <c:f>Dashboard!$D$124</c:f>
              <c:strCache>
                <c:ptCount val="1"/>
                <c:pt idx="0">
                  <c:v>ROCE</c:v>
                </c:pt>
              </c:strCache>
            </c:strRef>
          </c:tx>
          <c:spPr>
            <a:ln w="31750" cap="rnd">
              <a:solidFill>
                <a:srgbClr val="BF8F00"/>
              </a:solidFill>
              <a:prstDash val="solid"/>
              <a:round/>
            </a:ln>
            <a:effectLst/>
          </c:spPr>
          <c:marker>
            <c:symbol val="none"/>
          </c:marker>
          <c:cat>
            <c:strRef>
              <c:f>Dashboard!$A$125:$A$134</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Dashboard!$D$125:$D$134</c:f>
              <c:numCache>
                <c:formatCode>0.0%</c:formatCode>
                <c:ptCount val="10"/>
                <c:pt idx="0">
                  <c:v>0.96411625148279956</c:v>
                </c:pt>
                <c:pt idx="1">
                  <c:v>1.0455614973262033</c:v>
                </c:pt>
                <c:pt idx="2">
                  <c:v>1.140348560866121</c:v>
                </c:pt>
                <c:pt idx="3">
                  <c:v>1.1534542743538767</c:v>
                </c:pt>
                <c:pt idx="4">
                  <c:v>0.38359300931971452</c:v>
                </c:pt>
                <c:pt idx="5">
                  <c:v>0.247790355093813</c:v>
                </c:pt>
                <c:pt idx="6">
                  <c:v>0.27088008856237106</c:v>
                </c:pt>
                <c:pt idx="7">
                  <c:v>0.28092433167195285</c:v>
                </c:pt>
                <c:pt idx="8">
                  <c:v>0.29417610812959649</c:v>
                </c:pt>
                <c:pt idx="9">
                  <c:v>0.3796374603886245</c:v>
                </c:pt>
              </c:numCache>
            </c:numRef>
          </c:val>
          <c:smooth val="0"/>
          <c:extLst>
            <c:ext xmlns:c16="http://schemas.microsoft.com/office/drawing/2014/chart" uri="{C3380CC4-5D6E-409C-BE32-E72D297353CC}">
              <c16:uniqueId val="{00000002-4348-4414-92EC-8CD2F1E272A8}"/>
            </c:ext>
          </c:extLst>
        </c:ser>
        <c:dLbls>
          <c:showLegendKey val="0"/>
          <c:showVal val="0"/>
          <c:showCatName val="0"/>
          <c:showSerName val="0"/>
          <c:showPercent val="0"/>
          <c:showBubbleSize val="0"/>
        </c:dLbls>
        <c:smooth val="0"/>
        <c:axId val="65938528"/>
        <c:axId val="138172976"/>
      </c:lineChart>
      <c:catAx>
        <c:axId val="6593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138172976"/>
        <c:crosses val="autoZero"/>
        <c:auto val="1"/>
        <c:lblAlgn val="ctr"/>
        <c:lblOffset val="100"/>
        <c:noMultiLvlLbl val="0"/>
      </c:catAx>
      <c:valAx>
        <c:axId val="1381729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6593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rgbClr val="404040"/>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r>
              <a:rPr lang="en-US"/>
              <a:t>Current &amp; Quick Ratio (FY17–FY26)</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endParaRPr lang="en-US"/>
        </a:p>
      </c:txPr>
    </c:title>
    <c:autoTitleDeleted val="0"/>
    <c:plotArea>
      <c:layout/>
      <c:lineChart>
        <c:grouping val="standard"/>
        <c:varyColors val="0"/>
        <c:ser>
          <c:idx val="0"/>
          <c:order val="0"/>
          <c:tx>
            <c:strRef>
              <c:f>Dashboard!$B$136</c:f>
              <c:strCache>
                <c:ptCount val="1"/>
                <c:pt idx="0">
                  <c:v>Current Ratio</c:v>
                </c:pt>
              </c:strCache>
            </c:strRef>
          </c:tx>
          <c:spPr>
            <a:ln w="31750" cap="rnd">
              <a:solidFill>
                <a:srgbClr val="1F3864"/>
              </a:solidFill>
              <a:prstDash val="solid"/>
              <a:round/>
            </a:ln>
            <a:effectLst/>
          </c:spPr>
          <c:marker>
            <c:symbol val="none"/>
          </c:marker>
          <c:cat>
            <c:strRef>
              <c:f>Dashboard!$A$137:$A$146</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Dashboard!$B$137:$B$146</c:f>
              <c:numCache>
                <c:formatCode>0.00</c:formatCode>
                <c:ptCount val="10"/>
                <c:pt idx="0">
                  <c:v>0.83638457109959696</c:v>
                </c:pt>
                <c:pt idx="1">
                  <c:v>0.9450902561194594</c:v>
                </c:pt>
                <c:pt idx="2">
                  <c:v>1.0120979086561006</c:v>
                </c:pt>
                <c:pt idx="3">
                  <c:v>1.0753102985575311</c:v>
                </c:pt>
                <c:pt idx="4">
                  <c:v>0.65712522548181906</c:v>
                </c:pt>
                <c:pt idx="5">
                  <c:v>0.69596118027644349</c:v>
                </c:pt>
                <c:pt idx="6">
                  <c:v>0.76018372459868233</c:v>
                </c:pt>
                <c:pt idx="7">
                  <c:v>0.7404893938806375</c:v>
                </c:pt>
                <c:pt idx="8">
                  <c:v>0.71873806962135145</c:v>
                </c:pt>
                <c:pt idx="9">
                  <c:v>0.57826631889163649</c:v>
                </c:pt>
              </c:numCache>
            </c:numRef>
          </c:val>
          <c:smooth val="0"/>
          <c:extLst>
            <c:ext xmlns:c16="http://schemas.microsoft.com/office/drawing/2014/chart" uri="{C3380CC4-5D6E-409C-BE32-E72D297353CC}">
              <c16:uniqueId val="{00000000-9BA7-456E-B353-1C79E4644E1F}"/>
            </c:ext>
          </c:extLst>
        </c:ser>
        <c:ser>
          <c:idx val="1"/>
          <c:order val="1"/>
          <c:tx>
            <c:strRef>
              <c:f>Dashboard!$C$136</c:f>
              <c:strCache>
                <c:ptCount val="1"/>
                <c:pt idx="0">
                  <c:v>Quick Ratio</c:v>
                </c:pt>
              </c:strCache>
            </c:strRef>
          </c:tx>
          <c:spPr>
            <a:ln w="31750" cap="rnd">
              <a:solidFill>
                <a:srgbClr val="C00000"/>
              </a:solidFill>
              <a:prstDash val="solid"/>
              <a:round/>
            </a:ln>
            <a:effectLst/>
          </c:spPr>
          <c:marker>
            <c:symbol val="none"/>
          </c:marker>
          <c:cat>
            <c:strRef>
              <c:f>Dashboard!$A$137:$A$146</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Dashboard!$C$137:$C$146</c:f>
              <c:numCache>
                <c:formatCode>0.00</c:formatCode>
                <c:ptCount val="10"/>
                <c:pt idx="0">
                  <c:v>0.54381116868163504</c:v>
                </c:pt>
                <c:pt idx="1">
                  <c:v>0.70758907475663924</c:v>
                </c:pt>
                <c:pt idx="2">
                  <c:v>0.770702428959955</c:v>
                </c:pt>
                <c:pt idx="3">
                  <c:v>0.84325729620932577</c:v>
                </c:pt>
                <c:pt idx="4">
                  <c:v>0.48723060856356215</c:v>
                </c:pt>
                <c:pt idx="5">
                  <c:v>0.49519654935790608</c:v>
                </c:pt>
                <c:pt idx="6">
                  <c:v>0.56295815161918905</c:v>
                </c:pt>
                <c:pt idx="7">
                  <c:v>0.58451933144607748</c:v>
                </c:pt>
                <c:pt idx="8">
                  <c:v>0.56550862457918305</c:v>
                </c:pt>
                <c:pt idx="9">
                  <c:v>0.41604281697774464</c:v>
                </c:pt>
              </c:numCache>
            </c:numRef>
          </c:val>
          <c:smooth val="0"/>
          <c:extLst>
            <c:ext xmlns:c16="http://schemas.microsoft.com/office/drawing/2014/chart" uri="{C3380CC4-5D6E-409C-BE32-E72D297353CC}">
              <c16:uniqueId val="{00000001-9BA7-456E-B353-1C79E4644E1F}"/>
            </c:ext>
          </c:extLst>
        </c:ser>
        <c:dLbls>
          <c:showLegendKey val="0"/>
          <c:showVal val="0"/>
          <c:showCatName val="0"/>
          <c:showSerName val="0"/>
          <c:showPercent val="0"/>
          <c:showBubbleSize val="0"/>
        </c:dLbls>
        <c:smooth val="0"/>
        <c:axId val="65957088"/>
        <c:axId val="138195056"/>
      </c:lineChart>
      <c:catAx>
        <c:axId val="6595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138195056"/>
        <c:crosses val="autoZero"/>
        <c:auto val="1"/>
        <c:lblAlgn val="ctr"/>
        <c:lblOffset val="100"/>
        <c:noMultiLvlLbl val="0"/>
      </c:catAx>
      <c:valAx>
        <c:axId val="138195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65957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rgbClr val="404040"/>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r>
              <a:rPr lang="en-US"/>
              <a:t>Debt-Equity Ratio (FY17–FY26)</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endParaRPr lang="en-US"/>
        </a:p>
      </c:txPr>
    </c:title>
    <c:autoTitleDeleted val="0"/>
    <c:plotArea>
      <c:layout/>
      <c:barChart>
        <c:barDir val="col"/>
        <c:grouping val="clustered"/>
        <c:varyColors val="0"/>
        <c:ser>
          <c:idx val="0"/>
          <c:order val="0"/>
          <c:tx>
            <c:strRef>
              <c:f>Dashboard!$B$148</c:f>
              <c:strCache>
                <c:ptCount val="1"/>
                <c:pt idx="0">
                  <c:v>Debt-Equity Ratio</c:v>
                </c:pt>
              </c:strCache>
            </c:strRef>
          </c:tx>
          <c:spPr>
            <a:solidFill>
              <a:srgbClr val="1F3864"/>
            </a:solidFill>
            <a:ln>
              <a:noFill/>
            </a:ln>
            <a:effectLst/>
          </c:spPr>
          <c:invertIfNegative val="0"/>
          <c:cat>
            <c:strRef>
              <c:f>Dashboard!$A$149:$A$158</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Dashboard!$B$149:$B$158</c:f>
              <c:numCache>
                <c:formatCode>0.00</c:formatCode>
                <c:ptCount val="10"/>
                <c:pt idx="0">
                  <c:v>4.1073546856465006E-2</c:v>
                </c:pt>
                <c:pt idx="1">
                  <c:v>0</c:v>
                </c:pt>
                <c:pt idx="2">
                  <c:v>2.6142064959070503E-2</c:v>
                </c:pt>
                <c:pt idx="3">
                  <c:v>0</c:v>
                </c:pt>
                <c:pt idx="4">
                  <c:v>0</c:v>
                </c:pt>
                <c:pt idx="5">
                  <c:v>4.3128133560758772E-2</c:v>
                </c:pt>
                <c:pt idx="6">
                  <c:v>4.9071604689780106E-2</c:v>
                </c:pt>
                <c:pt idx="7">
                  <c:v>5.8470085301708004E-2</c:v>
                </c:pt>
                <c:pt idx="8">
                  <c:v>6.5513814351023658E-2</c:v>
                </c:pt>
                <c:pt idx="9">
                  <c:v>6.0239858978408618E-2</c:v>
                </c:pt>
              </c:numCache>
            </c:numRef>
          </c:val>
          <c:extLst>
            <c:ext xmlns:c16="http://schemas.microsoft.com/office/drawing/2014/chart" uri="{C3380CC4-5D6E-409C-BE32-E72D297353CC}">
              <c16:uniqueId val="{00000000-FDF4-422A-B04C-768A903D44F2}"/>
            </c:ext>
          </c:extLst>
        </c:ser>
        <c:dLbls>
          <c:showLegendKey val="0"/>
          <c:showVal val="0"/>
          <c:showCatName val="0"/>
          <c:showSerName val="0"/>
          <c:showPercent val="0"/>
          <c:showBubbleSize val="0"/>
        </c:dLbls>
        <c:gapWidth val="219"/>
        <c:overlap val="-27"/>
        <c:axId val="258993536"/>
        <c:axId val="138192176"/>
      </c:barChart>
      <c:catAx>
        <c:axId val="25899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138192176"/>
        <c:crosses val="autoZero"/>
        <c:auto val="1"/>
        <c:lblAlgn val="ctr"/>
        <c:lblOffset val="100"/>
        <c:noMultiLvlLbl val="0"/>
      </c:catAx>
      <c:valAx>
        <c:axId val="13819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258993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rgbClr val="404040"/>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r>
              <a:rPr lang="en-US"/>
              <a:t>EPS &amp; P/E Ratio (FY17–FY26)</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endParaRPr lang="en-US"/>
        </a:p>
      </c:txPr>
    </c:title>
    <c:autoTitleDeleted val="0"/>
    <c:plotArea>
      <c:layout/>
      <c:lineChart>
        <c:grouping val="standard"/>
        <c:varyColors val="0"/>
        <c:ser>
          <c:idx val="0"/>
          <c:order val="0"/>
          <c:tx>
            <c:strRef>
              <c:f>Dashboard!$B$160</c:f>
              <c:strCache>
                <c:ptCount val="1"/>
                <c:pt idx="0">
                  <c:v>EPS (Rs.)</c:v>
                </c:pt>
              </c:strCache>
            </c:strRef>
          </c:tx>
          <c:spPr>
            <a:ln w="31750" cap="rnd">
              <a:solidFill>
                <a:srgbClr val="1F3864"/>
              </a:solidFill>
              <a:prstDash val="solid"/>
              <a:round/>
            </a:ln>
            <a:effectLst/>
          </c:spPr>
          <c:marker>
            <c:symbol val="none"/>
          </c:marker>
          <c:cat>
            <c:strRef>
              <c:f>Dashboard!$A$161:$A$170</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Dashboard!$B$161:$B$170</c:f>
              <c:numCache>
                <c:formatCode>0.00</c:formatCode>
                <c:ptCount val="10"/>
                <c:pt idx="0">
                  <c:v>20.681051610220393</c:v>
                </c:pt>
                <c:pt idx="1">
                  <c:v>24.088704088704091</c:v>
                </c:pt>
                <c:pt idx="2">
                  <c:v>27.966923823162563</c:v>
                </c:pt>
                <c:pt idx="3">
                  <c:v>31.171470805617147</c:v>
                </c:pt>
                <c:pt idx="4">
                  <c:v>34.027068437180795</c:v>
                </c:pt>
                <c:pt idx="5">
                  <c:v>37.789410963568265</c:v>
                </c:pt>
                <c:pt idx="6">
                  <c:v>43.071161048689135</c:v>
                </c:pt>
                <c:pt idx="7">
                  <c:v>43.739359891045282</c:v>
                </c:pt>
                <c:pt idx="8">
                  <c:v>45.32260810350698</c:v>
                </c:pt>
                <c:pt idx="9">
                  <c:v>64.010895471569626</c:v>
                </c:pt>
              </c:numCache>
            </c:numRef>
          </c:val>
          <c:smooth val="0"/>
          <c:extLst>
            <c:ext xmlns:c16="http://schemas.microsoft.com/office/drawing/2014/chart" uri="{C3380CC4-5D6E-409C-BE32-E72D297353CC}">
              <c16:uniqueId val="{00000000-87EC-4DC1-90C0-C5C141E6FA1E}"/>
            </c:ext>
          </c:extLst>
        </c:ser>
        <c:ser>
          <c:idx val="1"/>
          <c:order val="1"/>
          <c:tx>
            <c:strRef>
              <c:f>Dashboard!$C$160</c:f>
              <c:strCache>
                <c:ptCount val="1"/>
                <c:pt idx="0">
                  <c:v>P/E Ratio (x)</c:v>
                </c:pt>
              </c:strCache>
            </c:strRef>
          </c:tx>
          <c:spPr>
            <a:ln w="31750" cap="rnd">
              <a:solidFill>
                <a:srgbClr val="C00000"/>
              </a:solidFill>
              <a:prstDash val="solid"/>
              <a:round/>
            </a:ln>
            <a:effectLst/>
          </c:spPr>
          <c:marker>
            <c:symbol val="none"/>
          </c:marker>
          <c:cat>
            <c:strRef>
              <c:f>Dashboard!$A$161:$A$170</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Dashboard!$C$161:$C$170</c:f>
              <c:numCache>
                <c:formatCode>0.0</c:formatCode>
                <c:ptCount val="10"/>
                <c:pt idx="0">
                  <c:v>42.193695777479896</c:v>
                </c:pt>
                <c:pt idx="1">
                  <c:v>52.975452531645558</c:v>
                </c:pt>
                <c:pt idx="2">
                  <c:v>58.409355649157582</c:v>
                </c:pt>
                <c:pt idx="3">
                  <c:v>70.571902548903381</c:v>
                </c:pt>
                <c:pt idx="4">
                  <c:v>68.390258311444654</c:v>
                </c:pt>
                <c:pt idx="5">
                  <c:v>51.88490505687578</c:v>
                </c:pt>
                <c:pt idx="6">
                  <c:v>56.892824347826092</c:v>
                </c:pt>
                <c:pt idx="7">
                  <c:v>49.546678447017612</c:v>
                </c:pt>
                <c:pt idx="8">
                  <c:v>47.699814517795097</c:v>
                </c:pt>
                <c:pt idx="9">
                  <c:v>32.107034042553188</c:v>
                </c:pt>
              </c:numCache>
            </c:numRef>
          </c:val>
          <c:smooth val="0"/>
          <c:extLst>
            <c:ext xmlns:c16="http://schemas.microsoft.com/office/drawing/2014/chart" uri="{C3380CC4-5D6E-409C-BE32-E72D297353CC}">
              <c16:uniqueId val="{00000001-87EC-4DC1-90C0-C5C141E6FA1E}"/>
            </c:ext>
          </c:extLst>
        </c:ser>
        <c:dLbls>
          <c:showLegendKey val="0"/>
          <c:showVal val="0"/>
          <c:showCatName val="0"/>
          <c:showSerName val="0"/>
          <c:showPercent val="0"/>
          <c:showBubbleSize val="0"/>
        </c:dLbls>
        <c:smooth val="0"/>
        <c:axId val="258981008"/>
        <c:axId val="138215696"/>
      </c:lineChart>
      <c:catAx>
        <c:axId val="25898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138215696"/>
        <c:crosses val="autoZero"/>
        <c:auto val="1"/>
        <c:lblAlgn val="ctr"/>
        <c:lblOffset val="100"/>
        <c:noMultiLvlLbl val="0"/>
      </c:catAx>
      <c:valAx>
        <c:axId val="138215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258981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rgbClr val="404040"/>
          </a:solidFill>
          <a:latin typeface="Arial"/>
          <a:ea typeface="Arial"/>
          <a:cs typeface="Aria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r>
              <a:rPr lang="en-US"/>
              <a:t>Balance Sheet Composition (FY17–FY26)</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endParaRPr lang="en-US"/>
        </a:p>
      </c:txPr>
    </c:title>
    <c:autoTitleDeleted val="0"/>
    <c:plotArea>
      <c:layout/>
      <c:barChart>
        <c:barDir val="col"/>
        <c:grouping val="stacked"/>
        <c:varyColors val="0"/>
        <c:ser>
          <c:idx val="0"/>
          <c:order val="0"/>
          <c:tx>
            <c:strRef>
              <c:f>Dashboard!$B$172</c:f>
              <c:strCache>
                <c:ptCount val="1"/>
                <c:pt idx="0">
                  <c:v>Shareholders' Equity</c:v>
                </c:pt>
              </c:strCache>
            </c:strRef>
          </c:tx>
          <c:spPr>
            <a:solidFill>
              <a:srgbClr val="1F3864"/>
            </a:solidFill>
            <a:ln>
              <a:noFill/>
            </a:ln>
            <a:effectLst/>
          </c:spPr>
          <c:invertIfNegative val="0"/>
          <c:cat>
            <c:strRef>
              <c:f>Dashboard!$A$173:$A$182</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Dashboard!$B$173:$B$182</c:f>
              <c:numCache>
                <c:formatCode>#,##0</c:formatCode>
                <c:ptCount val="10"/>
                <c:pt idx="0">
                  <c:v>6744</c:v>
                </c:pt>
                <c:pt idx="1">
                  <c:v>7281</c:v>
                </c:pt>
                <c:pt idx="2">
                  <c:v>7867</c:v>
                </c:pt>
                <c:pt idx="3">
                  <c:v>8229</c:v>
                </c:pt>
                <c:pt idx="4">
                  <c:v>47674</c:v>
                </c:pt>
                <c:pt idx="5">
                  <c:v>49061</c:v>
                </c:pt>
                <c:pt idx="6">
                  <c:v>50304</c:v>
                </c:pt>
                <c:pt idx="7">
                  <c:v>51218</c:v>
                </c:pt>
                <c:pt idx="8">
                  <c:v>49402</c:v>
                </c:pt>
                <c:pt idx="9">
                  <c:v>48739</c:v>
                </c:pt>
              </c:numCache>
            </c:numRef>
          </c:val>
          <c:extLst>
            <c:ext xmlns:c16="http://schemas.microsoft.com/office/drawing/2014/chart" uri="{C3380CC4-5D6E-409C-BE32-E72D297353CC}">
              <c16:uniqueId val="{00000000-E3BB-4AA1-AFB7-A10387F27108}"/>
            </c:ext>
          </c:extLst>
        </c:ser>
        <c:ser>
          <c:idx val="1"/>
          <c:order val="1"/>
          <c:tx>
            <c:strRef>
              <c:f>Dashboard!$C$172</c:f>
              <c:strCache>
                <c:ptCount val="1"/>
                <c:pt idx="0">
                  <c:v>Borrowings</c:v>
                </c:pt>
              </c:strCache>
            </c:strRef>
          </c:tx>
          <c:spPr>
            <a:solidFill>
              <a:srgbClr val="C00000"/>
            </a:solidFill>
            <a:ln>
              <a:noFill/>
            </a:ln>
            <a:effectLst/>
          </c:spPr>
          <c:invertIfNegative val="0"/>
          <c:cat>
            <c:strRef>
              <c:f>Dashboard!$A$173:$A$182</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Dashboard!$C$173:$C$182</c:f>
              <c:numCache>
                <c:formatCode>#,##0</c:formatCode>
                <c:ptCount val="10"/>
                <c:pt idx="0">
                  <c:v>277</c:v>
                </c:pt>
                <c:pt idx="1">
                  <c:v>0</c:v>
                </c:pt>
                <c:pt idx="2">
                  <c:v>99</c:v>
                </c:pt>
                <c:pt idx="3">
                  <c:v>0</c:v>
                </c:pt>
                <c:pt idx="4">
                  <c:v>0</c:v>
                </c:pt>
                <c:pt idx="5">
                  <c:v>1043</c:v>
                </c:pt>
                <c:pt idx="6">
                  <c:v>1219</c:v>
                </c:pt>
                <c:pt idx="7">
                  <c:v>1484</c:v>
                </c:pt>
                <c:pt idx="8">
                  <c:v>1648</c:v>
                </c:pt>
                <c:pt idx="9">
                  <c:v>1478</c:v>
                </c:pt>
              </c:numCache>
            </c:numRef>
          </c:val>
          <c:extLst>
            <c:ext xmlns:c16="http://schemas.microsoft.com/office/drawing/2014/chart" uri="{C3380CC4-5D6E-409C-BE32-E72D297353CC}">
              <c16:uniqueId val="{00000001-E3BB-4AA1-AFB7-A10387F27108}"/>
            </c:ext>
          </c:extLst>
        </c:ser>
        <c:ser>
          <c:idx val="2"/>
          <c:order val="2"/>
          <c:tx>
            <c:strRef>
              <c:f>Dashboard!$D$172</c:f>
              <c:strCache>
                <c:ptCount val="1"/>
                <c:pt idx="0">
                  <c:v>Other Liabilities</c:v>
                </c:pt>
              </c:strCache>
            </c:strRef>
          </c:tx>
          <c:spPr>
            <a:solidFill>
              <a:srgbClr val="BF8F00"/>
            </a:solidFill>
            <a:ln>
              <a:noFill/>
            </a:ln>
            <a:effectLst/>
          </c:spPr>
          <c:invertIfNegative val="0"/>
          <c:cat>
            <c:strRef>
              <c:f>Dashboard!$A$173:$A$182</c:f>
              <c:strCache>
                <c:ptCount val="10"/>
                <c:pt idx="0">
                  <c:v>FY17</c:v>
                </c:pt>
                <c:pt idx="1">
                  <c:v>FY18</c:v>
                </c:pt>
                <c:pt idx="2">
                  <c:v>FY19</c:v>
                </c:pt>
                <c:pt idx="3">
                  <c:v>FY20</c:v>
                </c:pt>
                <c:pt idx="4">
                  <c:v>FY21</c:v>
                </c:pt>
                <c:pt idx="5">
                  <c:v>FY22</c:v>
                </c:pt>
                <c:pt idx="6">
                  <c:v>FY23</c:v>
                </c:pt>
                <c:pt idx="7">
                  <c:v>FY24</c:v>
                </c:pt>
                <c:pt idx="8">
                  <c:v>FY25</c:v>
                </c:pt>
                <c:pt idx="9">
                  <c:v>FY26</c:v>
                </c:pt>
              </c:strCache>
            </c:strRef>
          </c:cat>
          <c:val>
            <c:numRef>
              <c:f>Dashboard!$D$173:$D$182</c:f>
              <c:numCache>
                <c:formatCode>#,##0</c:formatCode>
                <c:ptCount val="10"/>
                <c:pt idx="0">
                  <c:v>8685</c:v>
                </c:pt>
                <c:pt idx="1">
                  <c:v>10581</c:v>
                </c:pt>
                <c:pt idx="2">
                  <c:v>10663</c:v>
                </c:pt>
                <c:pt idx="3">
                  <c:v>11924</c:v>
                </c:pt>
                <c:pt idx="4">
                  <c:v>21066</c:v>
                </c:pt>
                <c:pt idx="5">
                  <c:v>20402</c:v>
                </c:pt>
                <c:pt idx="6">
                  <c:v>21554</c:v>
                </c:pt>
                <c:pt idx="7">
                  <c:v>25787</c:v>
                </c:pt>
                <c:pt idx="8">
                  <c:v>28813</c:v>
                </c:pt>
                <c:pt idx="9">
                  <c:v>29521</c:v>
                </c:pt>
              </c:numCache>
            </c:numRef>
          </c:val>
          <c:extLst>
            <c:ext xmlns:c16="http://schemas.microsoft.com/office/drawing/2014/chart" uri="{C3380CC4-5D6E-409C-BE32-E72D297353CC}">
              <c16:uniqueId val="{00000002-E3BB-4AA1-AFB7-A10387F27108}"/>
            </c:ext>
          </c:extLst>
        </c:ser>
        <c:dLbls>
          <c:showLegendKey val="0"/>
          <c:showVal val="0"/>
          <c:showCatName val="0"/>
          <c:showSerName val="0"/>
          <c:showPercent val="0"/>
          <c:showBubbleSize val="0"/>
        </c:dLbls>
        <c:gapWidth val="150"/>
        <c:overlap val="100"/>
        <c:axId val="196493040"/>
        <c:axId val="138214256"/>
      </c:barChart>
      <c:catAx>
        <c:axId val="19649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138214256"/>
        <c:crosses val="autoZero"/>
        <c:auto val="1"/>
        <c:lblAlgn val="ctr"/>
        <c:lblOffset val="100"/>
        <c:noMultiLvlLbl val="0"/>
      </c:catAx>
      <c:valAx>
        <c:axId val="1382142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196493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rgbClr val="404040"/>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r>
              <a:rPr lang="en-US"/>
              <a:t>DCF: Projected Revenue &amp; FCFF (FY27E–FY31E)</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endParaRPr lang="en-US"/>
        </a:p>
      </c:txPr>
    </c:title>
    <c:autoTitleDeleted val="0"/>
    <c:plotArea>
      <c:layout/>
      <c:barChart>
        <c:barDir val="col"/>
        <c:grouping val="clustered"/>
        <c:varyColors val="0"/>
        <c:ser>
          <c:idx val="0"/>
          <c:order val="0"/>
          <c:tx>
            <c:strRef>
              <c:f>Dashboard!$B$184</c:f>
              <c:strCache>
                <c:ptCount val="1"/>
                <c:pt idx="0">
                  <c:v>Revenue (Rs. cr)</c:v>
                </c:pt>
              </c:strCache>
            </c:strRef>
          </c:tx>
          <c:spPr>
            <a:solidFill>
              <a:srgbClr val="1F3864"/>
            </a:solidFill>
            <a:ln>
              <a:noFill/>
            </a:ln>
            <a:effectLst/>
          </c:spPr>
          <c:invertIfNegative val="0"/>
          <c:cat>
            <c:strRef>
              <c:f>Dashboard!$A$185:$A$189</c:f>
              <c:strCache>
                <c:ptCount val="5"/>
                <c:pt idx="0">
                  <c:v>FY2027E</c:v>
                </c:pt>
                <c:pt idx="1">
                  <c:v>FY2028E</c:v>
                </c:pt>
                <c:pt idx="2">
                  <c:v>FY2029E</c:v>
                </c:pt>
                <c:pt idx="3">
                  <c:v>FY2030E</c:v>
                </c:pt>
                <c:pt idx="4">
                  <c:v>FY2031E</c:v>
                </c:pt>
              </c:strCache>
            </c:strRef>
          </c:cat>
          <c:val>
            <c:numRef>
              <c:f>Dashboard!$B$185:$B$189</c:f>
              <c:numCache>
                <c:formatCode>#,##0</c:formatCode>
                <c:ptCount val="5"/>
                <c:pt idx="0">
                  <c:v>69625.440000000002</c:v>
                </c:pt>
                <c:pt idx="1">
                  <c:v>74499.22080000001</c:v>
                </c:pt>
                <c:pt idx="2">
                  <c:v>79714.166256000011</c:v>
                </c:pt>
                <c:pt idx="3">
                  <c:v>84497.016231360016</c:v>
                </c:pt>
                <c:pt idx="4">
                  <c:v>89566.837205241623</c:v>
                </c:pt>
              </c:numCache>
            </c:numRef>
          </c:val>
          <c:extLst>
            <c:ext xmlns:c16="http://schemas.microsoft.com/office/drawing/2014/chart" uri="{C3380CC4-5D6E-409C-BE32-E72D297353CC}">
              <c16:uniqueId val="{00000000-A73C-41D9-AA79-B4BF820E347F}"/>
            </c:ext>
          </c:extLst>
        </c:ser>
        <c:ser>
          <c:idx val="1"/>
          <c:order val="1"/>
          <c:tx>
            <c:strRef>
              <c:f>Dashboard!$C$184</c:f>
              <c:strCache>
                <c:ptCount val="1"/>
                <c:pt idx="0">
                  <c:v>FCFF (Rs. cr)</c:v>
                </c:pt>
              </c:strCache>
            </c:strRef>
          </c:tx>
          <c:spPr>
            <a:solidFill>
              <a:srgbClr val="C00000"/>
            </a:solidFill>
            <a:ln>
              <a:noFill/>
            </a:ln>
            <a:effectLst/>
          </c:spPr>
          <c:invertIfNegative val="0"/>
          <c:cat>
            <c:strRef>
              <c:f>Dashboard!$A$185:$A$189</c:f>
              <c:strCache>
                <c:ptCount val="5"/>
                <c:pt idx="0">
                  <c:v>FY2027E</c:v>
                </c:pt>
                <c:pt idx="1">
                  <c:v>FY2028E</c:v>
                </c:pt>
                <c:pt idx="2">
                  <c:v>FY2029E</c:v>
                </c:pt>
                <c:pt idx="3">
                  <c:v>FY2030E</c:v>
                </c:pt>
                <c:pt idx="4">
                  <c:v>FY2031E</c:v>
                </c:pt>
              </c:strCache>
            </c:strRef>
          </c:cat>
          <c:val>
            <c:numRef>
              <c:f>Dashboard!$C$185:$C$189</c:f>
              <c:numCache>
                <c:formatCode>#,##0</c:formatCode>
                <c:ptCount val="5"/>
                <c:pt idx="0">
                  <c:v>11680.839376</c:v>
                </c:pt>
                <c:pt idx="1">
                  <c:v>12543.23189232</c:v>
                </c:pt>
                <c:pt idx="2">
                  <c:v>13421.258124782398</c:v>
                </c:pt>
                <c:pt idx="3">
                  <c:v>14266.763191501346</c:v>
                </c:pt>
                <c:pt idx="4">
                  <c:v>15122.768982991429</c:v>
                </c:pt>
              </c:numCache>
            </c:numRef>
          </c:val>
          <c:extLst>
            <c:ext xmlns:c16="http://schemas.microsoft.com/office/drawing/2014/chart" uri="{C3380CC4-5D6E-409C-BE32-E72D297353CC}">
              <c16:uniqueId val="{00000001-A73C-41D9-AA79-B4BF820E347F}"/>
            </c:ext>
          </c:extLst>
        </c:ser>
        <c:dLbls>
          <c:showLegendKey val="0"/>
          <c:showVal val="0"/>
          <c:showCatName val="0"/>
          <c:showSerName val="0"/>
          <c:showPercent val="0"/>
          <c:showBubbleSize val="0"/>
        </c:dLbls>
        <c:gapWidth val="219"/>
        <c:overlap val="-27"/>
        <c:axId val="258974512"/>
        <c:axId val="138236336"/>
      </c:barChart>
      <c:catAx>
        <c:axId val="25897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138236336"/>
        <c:crosses val="autoZero"/>
        <c:auto val="1"/>
        <c:lblAlgn val="ctr"/>
        <c:lblOffset val="100"/>
        <c:noMultiLvlLbl val="0"/>
      </c:catAx>
      <c:valAx>
        <c:axId val="138236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258974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rgbClr val="404040"/>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r>
              <a:rPr lang="en-US"/>
              <a:t>EV/EBITDA — HUL vs. Peers (FY26A)</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404040"/>
              </a:solidFill>
              <a:latin typeface="Arial"/>
              <a:ea typeface="Arial"/>
              <a:cs typeface="Arial"/>
            </a:defRPr>
          </a:pPr>
          <a:endParaRPr lang="en-US"/>
        </a:p>
      </c:txPr>
    </c:title>
    <c:autoTitleDeleted val="0"/>
    <c:plotArea>
      <c:layout/>
      <c:barChart>
        <c:barDir val="bar"/>
        <c:grouping val="clustered"/>
        <c:varyColors val="0"/>
        <c:ser>
          <c:idx val="0"/>
          <c:order val="0"/>
          <c:tx>
            <c:strRef>
              <c:f>Dashboard!$B$191</c:f>
              <c:strCache>
                <c:ptCount val="1"/>
                <c:pt idx="0">
                  <c:v>EV/EBITDA (FY26A)</c:v>
                </c:pt>
              </c:strCache>
            </c:strRef>
          </c:tx>
          <c:spPr>
            <a:solidFill>
              <a:srgbClr val="1F3864"/>
            </a:solidFill>
            <a:ln>
              <a:noFill/>
            </a:ln>
            <a:effectLst/>
          </c:spPr>
          <c:invertIfNegative val="0"/>
          <c:cat>
            <c:strRef>
              <c:f>Dashboard!$A$192:$A$196</c:f>
              <c:strCache>
                <c:ptCount val="5"/>
                <c:pt idx="0">
                  <c:v>Hind. Unilever</c:v>
                </c:pt>
                <c:pt idx="1">
                  <c:v>ITC</c:v>
                </c:pt>
                <c:pt idx="2">
                  <c:v>Nestle India</c:v>
                </c:pt>
                <c:pt idx="3">
                  <c:v>Godrej Consumer</c:v>
                </c:pt>
                <c:pt idx="4">
                  <c:v>Marico</c:v>
                </c:pt>
              </c:strCache>
            </c:strRef>
          </c:cat>
          <c:val>
            <c:numRef>
              <c:f>Dashboard!$B$192:$B$196</c:f>
              <c:numCache>
                <c:formatCode>0.0"x"</c:formatCode>
                <c:ptCount val="5"/>
                <c:pt idx="0">
                  <c:v>31.14844635845472</c:v>
                </c:pt>
                <c:pt idx="1">
                  <c:v>11.671166629855907</c:v>
                </c:pt>
                <c:pt idx="2">
                  <c:v>54.319850928979747</c:v>
                </c:pt>
                <c:pt idx="3">
                  <c:v>33.526312789962518</c:v>
                </c:pt>
                <c:pt idx="4">
                  <c:v>44.813469096671945</c:v>
                </c:pt>
              </c:numCache>
            </c:numRef>
          </c:val>
          <c:extLst>
            <c:ext xmlns:c16="http://schemas.microsoft.com/office/drawing/2014/chart" uri="{C3380CC4-5D6E-409C-BE32-E72D297353CC}">
              <c16:uniqueId val="{00000000-2B37-4EF0-988A-DC04ACEF8BE2}"/>
            </c:ext>
          </c:extLst>
        </c:ser>
        <c:dLbls>
          <c:showLegendKey val="0"/>
          <c:showVal val="0"/>
          <c:showCatName val="0"/>
          <c:showSerName val="0"/>
          <c:showPercent val="0"/>
          <c:showBubbleSize val="0"/>
        </c:dLbls>
        <c:gapWidth val="182"/>
        <c:axId val="261594288"/>
        <c:axId val="138232496"/>
      </c:barChart>
      <c:catAx>
        <c:axId val="26159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138232496"/>
        <c:crosses val="autoZero"/>
        <c:auto val="1"/>
        <c:lblAlgn val="ctr"/>
        <c:lblOffset val="100"/>
        <c:noMultiLvlLbl val="0"/>
      </c:catAx>
      <c:valAx>
        <c:axId val="138232496"/>
        <c:scaling>
          <c:orientation val="minMax"/>
        </c:scaling>
        <c:delete val="0"/>
        <c:axPos val="b"/>
        <c:majorGridlines>
          <c:spPr>
            <a:ln w="9525" cap="flat" cmpd="sng" algn="ctr">
              <a:solidFill>
                <a:schemeClr val="tx1">
                  <a:lumMod val="15000"/>
                  <a:lumOff val="85000"/>
                </a:schemeClr>
              </a:solidFill>
              <a:round/>
            </a:ln>
            <a:effectLst/>
          </c:spPr>
        </c:majorGridlines>
        <c:numFmt formatCode="0.0&quot;x&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crossAx val="26159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40404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rgbClr val="404040"/>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tmp"/></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26761</xdr:rowOff>
    </xdr:from>
    <xdr:to>
      <xdr:col>1</xdr:col>
      <xdr:colOff>812006</xdr:colOff>
      <xdr:row>4</xdr:row>
      <xdr:rowOff>864961</xdr:rowOff>
    </xdr:to>
    <xdr:pic>
      <xdr:nvPicPr>
        <xdr:cNvPr id="3" name="HUL Logo">
          <a:extLst>
            <a:ext uri="{FF2B5EF4-FFF2-40B4-BE49-F238E27FC236}">
              <a16:creationId xmlns:a16="http://schemas.microsoft.com/office/drawing/2014/main" id="{5C6AB03C-5AC7-2C12-1CF1-3E8ABFBF19C2}"/>
            </a:ext>
          </a:extLst>
        </xdr:cNvPr>
        <xdr:cNvPicPr>
          <a:picLocks noChangeAspect="1"/>
        </xdr:cNvPicPr>
      </xdr:nvPicPr>
      <xdr:blipFill>
        <a:blip xmlns:r="http://schemas.openxmlformats.org/officeDocument/2006/relationships" r:embed="rId1"/>
        <a:stretch>
          <a:fillRect/>
        </a:stretch>
      </xdr:blipFill>
      <xdr:spPr>
        <a:xfrm>
          <a:off x="190500" y="815975"/>
          <a:ext cx="812006" cy="838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11</xdr:row>
      <xdr:rowOff>0</xdr:rowOff>
    </xdr:from>
    <xdr:to>
      <xdr:col>8</xdr:col>
      <xdr:colOff>0</xdr:colOff>
      <xdr:row>27</xdr:row>
      <xdr:rowOff>0</xdr:rowOff>
    </xdr:to>
    <xdr:graphicFrame macro="">
      <xdr:nvGraphicFramePr>
        <xdr:cNvPr id="2" name="Chart 1">
          <a:extLst>
            <a:ext uri="{FF2B5EF4-FFF2-40B4-BE49-F238E27FC236}">
              <a16:creationId xmlns:a16="http://schemas.microsoft.com/office/drawing/2014/main" id="{C7DB52CC-67AA-07E9-8C53-19316DE29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11</xdr:row>
      <xdr:rowOff>0</xdr:rowOff>
    </xdr:from>
    <xdr:to>
      <xdr:col>16</xdr:col>
      <xdr:colOff>0</xdr:colOff>
      <xdr:row>27</xdr:row>
      <xdr:rowOff>0</xdr:rowOff>
    </xdr:to>
    <xdr:graphicFrame macro="">
      <xdr:nvGraphicFramePr>
        <xdr:cNvPr id="3" name="Chart 2">
          <a:extLst>
            <a:ext uri="{FF2B5EF4-FFF2-40B4-BE49-F238E27FC236}">
              <a16:creationId xmlns:a16="http://schemas.microsoft.com/office/drawing/2014/main" id="{708BF46B-1E2A-7B7F-3C57-3104AD37F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28</xdr:row>
      <xdr:rowOff>0</xdr:rowOff>
    </xdr:from>
    <xdr:to>
      <xdr:col>8</xdr:col>
      <xdr:colOff>0</xdr:colOff>
      <xdr:row>44</xdr:row>
      <xdr:rowOff>0</xdr:rowOff>
    </xdr:to>
    <xdr:graphicFrame macro="">
      <xdr:nvGraphicFramePr>
        <xdr:cNvPr id="4" name="Chart 3">
          <a:extLst>
            <a:ext uri="{FF2B5EF4-FFF2-40B4-BE49-F238E27FC236}">
              <a16:creationId xmlns:a16="http://schemas.microsoft.com/office/drawing/2014/main" id="{BC8AADCC-8E39-7709-49CB-7F2E558F3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28</xdr:row>
      <xdr:rowOff>0</xdr:rowOff>
    </xdr:from>
    <xdr:to>
      <xdr:col>16</xdr:col>
      <xdr:colOff>0</xdr:colOff>
      <xdr:row>44</xdr:row>
      <xdr:rowOff>0</xdr:rowOff>
    </xdr:to>
    <xdr:graphicFrame macro="">
      <xdr:nvGraphicFramePr>
        <xdr:cNvPr id="5" name="Chart 4">
          <a:extLst>
            <a:ext uri="{FF2B5EF4-FFF2-40B4-BE49-F238E27FC236}">
              <a16:creationId xmlns:a16="http://schemas.microsoft.com/office/drawing/2014/main" id="{2CAEB4D1-1A76-5A25-1922-77983F665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45</xdr:row>
      <xdr:rowOff>0</xdr:rowOff>
    </xdr:from>
    <xdr:to>
      <xdr:col>8</xdr:col>
      <xdr:colOff>0</xdr:colOff>
      <xdr:row>61</xdr:row>
      <xdr:rowOff>0</xdr:rowOff>
    </xdr:to>
    <xdr:graphicFrame macro="">
      <xdr:nvGraphicFramePr>
        <xdr:cNvPr id="6" name="Chart 5">
          <a:extLst>
            <a:ext uri="{FF2B5EF4-FFF2-40B4-BE49-F238E27FC236}">
              <a16:creationId xmlns:a16="http://schemas.microsoft.com/office/drawing/2014/main" id="{74EA3FF1-EC37-8F09-CECB-2AE17F3C6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45</xdr:row>
      <xdr:rowOff>0</xdr:rowOff>
    </xdr:from>
    <xdr:to>
      <xdr:col>16</xdr:col>
      <xdr:colOff>0</xdr:colOff>
      <xdr:row>61</xdr:row>
      <xdr:rowOff>0</xdr:rowOff>
    </xdr:to>
    <xdr:graphicFrame macro="">
      <xdr:nvGraphicFramePr>
        <xdr:cNvPr id="7" name="Chart 6">
          <a:extLst>
            <a:ext uri="{FF2B5EF4-FFF2-40B4-BE49-F238E27FC236}">
              <a16:creationId xmlns:a16="http://schemas.microsoft.com/office/drawing/2014/main" id="{FE61C303-D56A-5002-B0D0-4CCCCA1C6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62</xdr:row>
      <xdr:rowOff>0</xdr:rowOff>
    </xdr:from>
    <xdr:to>
      <xdr:col>8</xdr:col>
      <xdr:colOff>0</xdr:colOff>
      <xdr:row>78</xdr:row>
      <xdr:rowOff>0</xdr:rowOff>
    </xdr:to>
    <xdr:graphicFrame macro="">
      <xdr:nvGraphicFramePr>
        <xdr:cNvPr id="8" name="Chart 7">
          <a:extLst>
            <a:ext uri="{FF2B5EF4-FFF2-40B4-BE49-F238E27FC236}">
              <a16:creationId xmlns:a16="http://schemas.microsoft.com/office/drawing/2014/main" id="{453821F9-EAD5-1369-C3D1-D252FF0E2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62</xdr:row>
      <xdr:rowOff>0</xdr:rowOff>
    </xdr:from>
    <xdr:to>
      <xdr:col>16</xdr:col>
      <xdr:colOff>0</xdr:colOff>
      <xdr:row>78</xdr:row>
      <xdr:rowOff>0</xdr:rowOff>
    </xdr:to>
    <xdr:graphicFrame macro="">
      <xdr:nvGraphicFramePr>
        <xdr:cNvPr id="9" name="Chart 8">
          <a:extLst>
            <a:ext uri="{FF2B5EF4-FFF2-40B4-BE49-F238E27FC236}">
              <a16:creationId xmlns:a16="http://schemas.microsoft.com/office/drawing/2014/main" id="{D77DD307-2B53-2E9D-E9C8-94B432550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79</xdr:row>
      <xdr:rowOff>0</xdr:rowOff>
    </xdr:from>
    <xdr:to>
      <xdr:col>8</xdr:col>
      <xdr:colOff>0</xdr:colOff>
      <xdr:row>95</xdr:row>
      <xdr:rowOff>0</xdr:rowOff>
    </xdr:to>
    <xdr:graphicFrame macro="">
      <xdr:nvGraphicFramePr>
        <xdr:cNvPr id="10" name="Chart 9">
          <a:extLst>
            <a:ext uri="{FF2B5EF4-FFF2-40B4-BE49-F238E27FC236}">
              <a16:creationId xmlns:a16="http://schemas.microsoft.com/office/drawing/2014/main" id="{BD84AA30-8E8C-2849-027E-D851FB768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40">
  <tableColumns count="14">
    <tableColumn id="1" xr3:uid="{00000000-0010-0000-0000-000001000000}" name="Column1" headerRowDxfId="39" dataDxfId="38"/>
    <tableColumn id="2" xr3:uid="{00000000-0010-0000-0000-000002000000}" name="Column2" headerRowDxfId="37"/>
    <tableColumn id="3" xr3:uid="{00000000-0010-0000-0000-000003000000}" name="Column3" headerRowDxfId="36"/>
    <tableColumn id="4" xr3:uid="{00000000-0010-0000-0000-000004000000}" name="Column4" headerRowDxfId="35"/>
    <tableColumn id="5" xr3:uid="{00000000-0010-0000-0000-000005000000}" name="Column5" headerRowDxfId="34"/>
    <tableColumn id="6" xr3:uid="{00000000-0010-0000-0000-000006000000}" name="Column6" headerRowDxfId="33"/>
    <tableColumn id="7" xr3:uid="{00000000-0010-0000-0000-000007000000}" name="Column7" headerRowDxfId="32"/>
    <tableColumn id="8" xr3:uid="{00000000-0010-0000-0000-000008000000}" name="Column8" headerRowDxfId="31"/>
    <tableColumn id="9" xr3:uid="{00000000-0010-0000-0000-000009000000}" name="Column9" headerRowDxfId="30"/>
    <tableColumn id="10" xr3:uid="{00000000-0010-0000-0000-00000A000000}" name="Column10" headerRowDxfId="29"/>
    <tableColumn id="11" xr3:uid="{00000000-0010-0000-0000-00000B000000}" name="Column11" headerRowDxfId="28"/>
    <tableColumn id="12" xr3:uid="{00000000-0010-0000-0000-00000C000000}" name="Column12" headerRowDxfId="27"/>
    <tableColumn id="13" xr3:uid="{00000000-0010-0000-0000-00000D000000}" name="Column13" headerRowDxfId="26" dataDxfId="25"/>
    <tableColumn id="14" xr3:uid="{00000000-0010-0000-0000-00000E000000}" name="Column14" headerRowDxfId="24" dataDxfId="2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22">
  <tableColumns count="11">
    <tableColumn id="1" xr3:uid="{00000000-0010-0000-0100-000001000000}" name="Column1" headerRowDxfId="21"/>
    <tableColumn id="2" xr3:uid="{00000000-0010-0000-0100-000002000000}" name="Column2" headerRowDxfId="20"/>
    <tableColumn id="3" xr3:uid="{00000000-0010-0000-0100-000003000000}" name="Column3" headerRowDxfId="19"/>
    <tableColumn id="4" xr3:uid="{00000000-0010-0000-0100-000004000000}" name="Column4" headerRowDxfId="18"/>
    <tableColumn id="5" xr3:uid="{00000000-0010-0000-0100-000005000000}" name="Column5" headerRowDxfId="17"/>
    <tableColumn id="6" xr3:uid="{00000000-0010-0000-0100-000006000000}" name="Column6" headerRowDxfId="16"/>
    <tableColumn id="7" xr3:uid="{00000000-0010-0000-0100-000007000000}" name="Column7" headerRowDxfId="15"/>
    <tableColumn id="8" xr3:uid="{00000000-0010-0000-0100-000008000000}" name="Column8" headerRowDxfId="14"/>
    <tableColumn id="9" xr3:uid="{00000000-0010-0000-0100-000009000000}" name="Column9" headerRowDxfId="13"/>
    <tableColumn id="10" xr3:uid="{00000000-0010-0000-0100-00000A000000}" name="Column10" headerRowDxfId="12"/>
    <tableColumn id="11" xr3:uid="{00000000-0010-0000-0100-00000B000000}" name="Column11" headerRowDxfId="1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3C786-3FCF-4F47-BE37-84516AA4F786}">
  <we:reference id="wa200009404" version="1.0.0.8" store="en-US" storeType="OMEX"/>
  <we:alternateReferences>
    <we:reference id="WA200009404" version="1.0.0.8" store="" storeType="OMEX"/>
  </we:alternateReferences>
  <we:properties>
    <we:property name="claude.fileId" value="&quot;8b2711e0-7096-4e59-b42b-2cc0225b806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reener.in/excel/"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eener.in/company/HINDUNILVR/"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5.bin"/><Relationship Id="rId1" Type="http://schemas.openxmlformats.org/officeDocument/2006/relationships/hyperlink" Target="http://www.screener.in/" TargetMode="External"/></Relationships>
</file>

<file path=xl/worksheets/_rels/sheet2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0C320-48B8-4AAA-9BD1-12CBF683C441}">
  <sheetPr>
    <tabColor rgb="FF1B2A63"/>
  </sheetPr>
  <dimension ref="A1:E81"/>
  <sheetViews>
    <sheetView showGridLines="0" zoomScale="92" workbookViewId="0">
      <selection activeCell="C16" sqref="C16"/>
    </sheetView>
  </sheetViews>
  <sheetFormatPr defaultRowHeight="14.4" x14ac:dyDescent="0.3"/>
  <cols>
    <col min="1" max="1" width="2.88671875" customWidth="1"/>
    <col min="2" max="2" width="43.88671875" customWidth="1"/>
    <col min="3" max="3" width="89.5546875" customWidth="1"/>
    <col min="4" max="5" width="2.88671875" customWidth="1"/>
  </cols>
  <sheetData>
    <row r="1" spans="1:5" x14ac:dyDescent="0.3">
      <c r="A1" s="263"/>
      <c r="B1" s="127"/>
      <c r="C1" s="127"/>
      <c r="D1" s="127"/>
      <c r="E1" s="127"/>
    </row>
    <row r="2" spans="1:5" ht="18" thickBot="1" x14ac:dyDescent="0.35">
      <c r="A2" s="263"/>
      <c r="B2" s="265" t="s">
        <v>607</v>
      </c>
      <c r="C2" s="127"/>
      <c r="D2" s="127"/>
      <c r="E2" s="127"/>
    </row>
    <row r="3" spans="1:5" x14ac:dyDescent="0.3">
      <c r="A3" s="263"/>
      <c r="B3" s="266" t="s">
        <v>608</v>
      </c>
      <c r="C3" s="267"/>
      <c r="D3" s="127"/>
      <c r="E3" s="127"/>
    </row>
    <row r="4" spans="1:5" x14ac:dyDescent="0.3">
      <c r="A4" s="263"/>
      <c r="B4" s="127"/>
      <c r="C4" s="127"/>
      <c r="D4" s="127"/>
      <c r="E4" s="127"/>
    </row>
    <row r="5" spans="1:5" ht="69.900000000000006" customHeight="1" x14ac:dyDescent="0.3">
      <c r="A5" s="263"/>
      <c r="B5" s="127"/>
      <c r="C5" s="127"/>
      <c r="D5" s="127"/>
      <c r="E5" s="127"/>
    </row>
    <row r="6" spans="1:5" ht="22.8" x14ac:dyDescent="0.3">
      <c r="A6" s="263"/>
      <c r="B6" s="268" t="s">
        <v>322</v>
      </c>
      <c r="C6" s="127"/>
      <c r="D6" s="127"/>
      <c r="E6" s="127"/>
    </row>
    <row r="7" spans="1:5" x14ac:dyDescent="0.3">
      <c r="A7" s="263"/>
      <c r="B7" s="130" t="s">
        <v>323</v>
      </c>
      <c r="C7" s="127"/>
      <c r="D7" s="127"/>
      <c r="E7" s="127"/>
    </row>
    <row r="8" spans="1:5" x14ac:dyDescent="0.3">
      <c r="A8" s="263"/>
      <c r="B8" s="127"/>
      <c r="C8" s="127"/>
      <c r="D8" s="127"/>
      <c r="E8" s="127"/>
    </row>
    <row r="9" spans="1:5" x14ac:dyDescent="0.3">
      <c r="A9" s="263"/>
      <c r="B9" s="269" t="s">
        <v>324</v>
      </c>
      <c r="C9" s="269"/>
      <c r="D9" s="127"/>
      <c r="E9" s="127"/>
    </row>
    <row r="10" spans="1:5" x14ac:dyDescent="0.3">
      <c r="A10" s="263"/>
      <c r="B10" s="270" t="s">
        <v>325</v>
      </c>
      <c r="C10" s="271" t="s">
        <v>526</v>
      </c>
      <c r="D10" s="127"/>
      <c r="E10" s="127"/>
    </row>
    <row r="11" spans="1:5" x14ac:dyDescent="0.3">
      <c r="A11" s="263"/>
      <c r="B11" s="132" t="s">
        <v>326</v>
      </c>
      <c r="C11" s="135" t="s">
        <v>609</v>
      </c>
      <c r="D11" s="127"/>
      <c r="E11" s="127"/>
    </row>
    <row r="12" spans="1:5" x14ac:dyDescent="0.3">
      <c r="A12" s="263"/>
      <c r="B12" s="132" t="s">
        <v>327</v>
      </c>
      <c r="C12" s="135" t="s">
        <v>525</v>
      </c>
      <c r="D12" s="127"/>
      <c r="E12" s="127"/>
    </row>
    <row r="13" spans="1:5" x14ac:dyDescent="0.3">
      <c r="A13" s="263"/>
      <c r="B13" s="132" t="s">
        <v>328</v>
      </c>
      <c r="C13" s="159">
        <v>46249</v>
      </c>
      <c r="D13" s="127"/>
      <c r="E13" s="127"/>
    </row>
    <row r="14" spans="1:5" x14ac:dyDescent="0.3">
      <c r="A14" s="263"/>
      <c r="B14" s="132" t="s">
        <v>329</v>
      </c>
      <c r="C14" s="136" t="s">
        <v>330</v>
      </c>
      <c r="D14" s="127"/>
      <c r="E14" s="127"/>
    </row>
    <row r="15" spans="1:5" x14ac:dyDescent="0.3">
      <c r="A15" s="263"/>
      <c r="B15" s="132" t="s">
        <v>331</v>
      </c>
      <c r="C15" s="136" t="s">
        <v>332</v>
      </c>
      <c r="D15" s="127"/>
      <c r="E15" s="127"/>
    </row>
    <row r="16" spans="1:5" x14ac:dyDescent="0.3">
      <c r="A16" s="263"/>
      <c r="B16" s="132" t="s">
        <v>333</v>
      </c>
      <c r="C16" s="136" t="s">
        <v>334</v>
      </c>
      <c r="D16" s="127"/>
      <c r="E16" s="127"/>
    </row>
    <row r="17" spans="1:5" x14ac:dyDescent="0.3">
      <c r="A17" s="263"/>
      <c r="B17" s="132" t="s">
        <v>335</v>
      </c>
      <c r="C17" s="136" t="s">
        <v>336</v>
      </c>
      <c r="D17" s="127"/>
      <c r="E17" s="127"/>
    </row>
    <row r="18" spans="1:5" ht="15" thickBot="1" x14ac:dyDescent="0.35">
      <c r="A18" s="263"/>
      <c r="B18" s="275"/>
      <c r="C18" s="275"/>
      <c r="D18" s="127"/>
      <c r="E18" s="127"/>
    </row>
    <row r="19" spans="1:5" x14ac:dyDescent="0.3">
      <c r="A19" s="263"/>
      <c r="B19" s="272" t="s">
        <v>337</v>
      </c>
      <c r="C19" s="272"/>
      <c r="D19" s="127"/>
      <c r="E19" s="127"/>
    </row>
    <row r="20" spans="1:5" x14ac:dyDescent="0.3">
      <c r="A20" s="263"/>
      <c r="B20" s="273" t="s">
        <v>338</v>
      </c>
      <c r="C20" s="273" t="s">
        <v>339</v>
      </c>
      <c r="D20" s="127"/>
      <c r="E20" s="127"/>
    </row>
    <row r="21" spans="1:5" x14ac:dyDescent="0.3">
      <c r="A21" s="263"/>
      <c r="B21" s="270" t="s">
        <v>340</v>
      </c>
      <c r="C21" s="274" t="s">
        <v>341</v>
      </c>
      <c r="D21" s="127"/>
      <c r="E21" s="127"/>
    </row>
    <row r="22" spans="1:5" x14ac:dyDescent="0.3">
      <c r="A22" s="263"/>
      <c r="B22" s="276" t="s">
        <v>342</v>
      </c>
      <c r="C22" s="277" t="s">
        <v>343</v>
      </c>
      <c r="D22" s="127"/>
      <c r="E22" s="127"/>
    </row>
    <row r="23" spans="1:5" x14ac:dyDescent="0.3">
      <c r="A23" s="263"/>
      <c r="B23" s="132" t="s">
        <v>344</v>
      </c>
      <c r="C23" s="136" t="s">
        <v>345</v>
      </c>
      <c r="D23" s="127"/>
      <c r="E23" s="127"/>
    </row>
    <row r="24" spans="1:5" x14ac:dyDescent="0.3">
      <c r="A24" s="263"/>
      <c r="B24" s="276" t="s">
        <v>346</v>
      </c>
      <c r="C24" s="277" t="s">
        <v>347</v>
      </c>
      <c r="D24" s="127"/>
      <c r="E24" s="127"/>
    </row>
    <row r="25" spans="1:5" x14ac:dyDescent="0.3">
      <c r="A25" s="263"/>
      <c r="B25" s="132" t="s">
        <v>39</v>
      </c>
      <c r="C25" s="136" t="s">
        <v>348</v>
      </c>
      <c r="D25" s="127"/>
      <c r="E25" s="127"/>
    </row>
    <row r="26" spans="1:5" x14ac:dyDescent="0.3">
      <c r="A26" s="263"/>
      <c r="B26" s="276" t="s">
        <v>349</v>
      </c>
      <c r="C26" s="277" t="s">
        <v>350</v>
      </c>
      <c r="D26" s="127"/>
      <c r="E26" s="127"/>
    </row>
    <row r="27" spans="1:5" x14ac:dyDescent="0.3">
      <c r="A27" s="263"/>
      <c r="B27" s="132" t="s">
        <v>351</v>
      </c>
      <c r="C27" s="136" t="s">
        <v>352</v>
      </c>
      <c r="D27" s="127"/>
      <c r="E27" s="127"/>
    </row>
    <row r="28" spans="1:5" x14ac:dyDescent="0.3">
      <c r="A28" s="263"/>
      <c r="B28" s="276" t="s">
        <v>353</v>
      </c>
      <c r="C28" s="277" t="s">
        <v>354</v>
      </c>
      <c r="D28" s="127"/>
      <c r="E28" s="127"/>
    </row>
    <row r="29" spans="1:5" x14ac:dyDescent="0.3">
      <c r="A29" s="263"/>
      <c r="B29" s="132" t="s">
        <v>355</v>
      </c>
      <c r="C29" s="136" t="s">
        <v>356</v>
      </c>
      <c r="D29" s="127"/>
      <c r="E29" s="127"/>
    </row>
    <row r="30" spans="1:5" x14ac:dyDescent="0.3">
      <c r="A30" s="263"/>
      <c r="B30" s="276" t="s">
        <v>357</v>
      </c>
      <c r="C30" s="277" t="s">
        <v>358</v>
      </c>
      <c r="D30" s="127"/>
      <c r="E30" s="127"/>
    </row>
    <row r="31" spans="1:5" x14ac:dyDescent="0.3">
      <c r="A31" s="263"/>
      <c r="B31" s="132" t="s">
        <v>359</v>
      </c>
      <c r="C31" s="136" t="s">
        <v>360</v>
      </c>
      <c r="D31" s="127"/>
      <c r="E31" s="127"/>
    </row>
    <row r="32" spans="1:5" x14ac:dyDescent="0.3">
      <c r="A32" s="263"/>
      <c r="B32" s="276" t="s">
        <v>361</v>
      </c>
      <c r="C32" s="277" t="s">
        <v>362</v>
      </c>
      <c r="D32" s="127"/>
      <c r="E32" s="127"/>
    </row>
    <row r="33" spans="1:5" x14ac:dyDescent="0.3">
      <c r="A33" s="263"/>
      <c r="B33" s="132" t="s">
        <v>363</v>
      </c>
      <c r="C33" s="136" t="s">
        <v>364</v>
      </c>
      <c r="D33" s="127"/>
      <c r="E33" s="127"/>
    </row>
    <row r="34" spans="1:5" x14ac:dyDescent="0.3">
      <c r="A34" s="263"/>
      <c r="B34" s="276" t="s">
        <v>365</v>
      </c>
      <c r="C34" s="277" t="s">
        <v>366</v>
      </c>
      <c r="D34" s="127"/>
      <c r="E34" s="127"/>
    </row>
    <row r="35" spans="1:5" x14ac:dyDescent="0.3">
      <c r="A35" s="263"/>
      <c r="B35" s="132" t="s">
        <v>367</v>
      </c>
      <c r="C35" s="136" t="s">
        <v>368</v>
      </c>
      <c r="D35" s="127"/>
      <c r="E35" s="127"/>
    </row>
    <row r="36" spans="1:5" x14ac:dyDescent="0.3">
      <c r="A36" s="263"/>
      <c r="B36" s="276" t="s">
        <v>369</v>
      </c>
      <c r="C36" s="277" t="s">
        <v>370</v>
      </c>
      <c r="D36" s="127"/>
      <c r="E36" s="127"/>
    </row>
    <row r="37" spans="1:5" x14ac:dyDescent="0.3">
      <c r="A37" s="263"/>
      <c r="B37" s="132" t="s">
        <v>371</v>
      </c>
      <c r="C37" s="136" t="s">
        <v>372</v>
      </c>
      <c r="D37" s="127"/>
      <c r="E37" s="127"/>
    </row>
    <row r="38" spans="1:5" x14ac:dyDescent="0.3">
      <c r="A38" s="263"/>
      <c r="B38" s="276" t="s">
        <v>373</v>
      </c>
      <c r="C38" s="277" t="s">
        <v>374</v>
      </c>
      <c r="D38" s="127"/>
      <c r="E38" s="127"/>
    </row>
    <row r="39" spans="1:5" x14ac:dyDescent="0.3">
      <c r="A39" s="127"/>
      <c r="B39" s="127"/>
      <c r="C39" s="127"/>
      <c r="D39" s="127"/>
      <c r="E39" s="127"/>
    </row>
    <row r="40" spans="1:5" x14ac:dyDescent="0.3">
      <c r="A40" s="127"/>
      <c r="B40" s="127"/>
      <c r="C40" s="127"/>
      <c r="D40" s="127"/>
      <c r="E40" s="127"/>
    </row>
    <row r="41" spans="1:5" x14ac:dyDescent="0.3">
      <c r="A41" s="127"/>
      <c r="B41" s="127"/>
      <c r="C41" s="127"/>
      <c r="D41" s="127"/>
      <c r="E41" s="127"/>
    </row>
    <row r="42" spans="1:5" x14ac:dyDescent="0.3">
      <c r="A42" s="127"/>
      <c r="B42" s="127"/>
      <c r="C42" s="127"/>
      <c r="D42" s="127"/>
      <c r="E42" s="127"/>
    </row>
    <row r="43" spans="1:5" x14ac:dyDescent="0.3">
      <c r="A43" s="127"/>
      <c r="B43" s="127"/>
      <c r="C43" s="127"/>
      <c r="D43" s="127"/>
      <c r="E43" s="127"/>
    </row>
    <row r="44" spans="1:5" x14ac:dyDescent="0.3">
      <c r="A44" s="127"/>
      <c r="B44" s="127"/>
      <c r="C44" s="127"/>
      <c r="D44" s="127"/>
      <c r="E44" s="127"/>
    </row>
    <row r="45" spans="1:5" x14ac:dyDescent="0.3">
      <c r="A45" s="127"/>
      <c r="B45" s="127"/>
      <c r="C45" s="127"/>
      <c r="D45" s="127"/>
      <c r="E45" s="127"/>
    </row>
    <row r="46" spans="1:5" x14ac:dyDescent="0.3">
      <c r="A46" s="127"/>
      <c r="B46" s="127"/>
      <c r="C46" s="127"/>
      <c r="D46" s="127"/>
      <c r="E46" s="127"/>
    </row>
    <row r="47" spans="1:5" x14ac:dyDescent="0.3">
      <c r="A47" s="127"/>
      <c r="B47" s="127"/>
      <c r="C47" s="127"/>
      <c r="D47" s="127"/>
      <c r="E47" s="127"/>
    </row>
    <row r="48" spans="1:5" x14ac:dyDescent="0.3">
      <c r="A48" s="127"/>
      <c r="B48" s="127"/>
      <c r="C48" s="127"/>
      <c r="D48" s="127"/>
      <c r="E48" s="127"/>
    </row>
    <row r="49" spans="1:5" x14ac:dyDescent="0.3">
      <c r="A49" s="127"/>
      <c r="B49" s="127"/>
      <c r="C49" s="127"/>
      <c r="D49" s="127"/>
      <c r="E49" s="127"/>
    </row>
    <row r="50" spans="1:5" x14ac:dyDescent="0.3">
      <c r="A50" s="127"/>
      <c r="B50" s="127"/>
      <c r="C50" s="127"/>
      <c r="D50" s="127"/>
      <c r="E50" s="127"/>
    </row>
    <row r="51" spans="1:5" x14ac:dyDescent="0.3">
      <c r="A51" s="127"/>
      <c r="B51" s="127"/>
      <c r="C51" s="127"/>
      <c r="D51" s="127"/>
      <c r="E51" s="127"/>
    </row>
    <row r="52" spans="1:5" x14ac:dyDescent="0.3">
      <c r="A52" s="127"/>
      <c r="B52" s="127"/>
      <c r="C52" s="127"/>
      <c r="D52" s="127"/>
      <c r="E52" s="127"/>
    </row>
    <row r="53" spans="1:5" x14ac:dyDescent="0.3">
      <c r="A53" s="127"/>
      <c r="B53" s="127"/>
      <c r="C53" s="127"/>
      <c r="D53" s="127"/>
      <c r="E53" s="127"/>
    </row>
    <row r="54" spans="1:5" x14ac:dyDescent="0.3">
      <c r="A54" s="127"/>
      <c r="B54" s="127"/>
      <c r="C54" s="127"/>
      <c r="D54" s="127"/>
      <c r="E54" s="127"/>
    </row>
    <row r="55" spans="1:5" x14ac:dyDescent="0.3">
      <c r="A55" s="127"/>
      <c r="B55" s="127"/>
      <c r="C55" s="127"/>
      <c r="D55" s="127"/>
      <c r="E55" s="127"/>
    </row>
    <row r="56" spans="1:5" x14ac:dyDescent="0.3">
      <c r="A56" s="127"/>
      <c r="B56" s="127"/>
      <c r="C56" s="127"/>
      <c r="D56" s="127"/>
      <c r="E56" s="127"/>
    </row>
    <row r="57" spans="1:5" x14ac:dyDescent="0.3">
      <c r="A57" s="127"/>
      <c r="B57" s="127"/>
      <c r="C57" s="127"/>
      <c r="D57" s="127"/>
      <c r="E57" s="127"/>
    </row>
    <row r="58" spans="1:5" x14ac:dyDescent="0.3">
      <c r="A58" s="127"/>
      <c r="B58" s="127"/>
      <c r="C58" s="127"/>
      <c r="D58" s="127"/>
      <c r="E58" s="127"/>
    </row>
    <row r="59" spans="1:5" x14ac:dyDescent="0.3">
      <c r="A59" s="127"/>
      <c r="B59" s="127"/>
      <c r="C59" s="127"/>
      <c r="D59" s="127"/>
      <c r="E59" s="127"/>
    </row>
    <row r="60" spans="1:5" x14ac:dyDescent="0.3">
      <c r="A60" s="127"/>
      <c r="B60" s="127"/>
      <c r="C60" s="127"/>
      <c r="D60" s="127"/>
      <c r="E60" s="127"/>
    </row>
    <row r="61" spans="1:5" x14ac:dyDescent="0.3">
      <c r="A61" s="127"/>
      <c r="B61" s="127"/>
      <c r="C61" s="127"/>
      <c r="D61" s="127"/>
      <c r="E61" s="127"/>
    </row>
    <row r="62" spans="1:5" x14ac:dyDescent="0.3">
      <c r="A62" s="127"/>
      <c r="B62" s="127"/>
      <c r="C62" s="127"/>
      <c r="D62" s="127"/>
      <c r="E62" s="127"/>
    </row>
    <row r="63" spans="1:5" x14ac:dyDescent="0.3">
      <c r="A63" s="127"/>
      <c r="B63" s="127"/>
      <c r="C63" s="127"/>
      <c r="D63" s="127"/>
      <c r="E63" s="127"/>
    </row>
    <row r="64" spans="1:5" x14ac:dyDescent="0.3">
      <c r="A64" s="127"/>
      <c r="B64" s="127"/>
      <c r="C64" s="127"/>
      <c r="D64" s="127"/>
      <c r="E64" s="127"/>
    </row>
    <row r="65" spans="1:5" x14ac:dyDescent="0.3">
      <c r="A65" s="127"/>
      <c r="B65" s="127"/>
      <c r="C65" s="127"/>
      <c r="D65" s="127"/>
      <c r="E65" s="127"/>
    </row>
    <row r="66" spans="1:5" x14ac:dyDescent="0.3">
      <c r="A66" s="127"/>
      <c r="B66" s="127"/>
      <c r="C66" s="127"/>
      <c r="D66" s="127"/>
      <c r="E66" s="127"/>
    </row>
    <row r="67" spans="1:5" x14ac:dyDescent="0.3">
      <c r="A67" s="127"/>
      <c r="B67" s="127"/>
      <c r="C67" s="127"/>
      <c r="D67" s="127"/>
      <c r="E67" s="127"/>
    </row>
    <row r="68" spans="1:5" x14ac:dyDescent="0.3">
      <c r="A68" s="127"/>
      <c r="B68" s="127"/>
      <c r="C68" s="127"/>
      <c r="D68" s="127"/>
      <c r="E68" s="127"/>
    </row>
    <row r="69" spans="1:5" x14ac:dyDescent="0.3">
      <c r="A69" s="127"/>
      <c r="B69" s="127"/>
      <c r="C69" s="127"/>
      <c r="D69" s="127"/>
      <c r="E69" s="127"/>
    </row>
    <row r="70" spans="1:5" x14ac:dyDescent="0.3">
      <c r="A70" s="127"/>
      <c r="B70" s="127"/>
      <c r="C70" s="127"/>
      <c r="D70" s="127"/>
      <c r="E70" s="127"/>
    </row>
    <row r="71" spans="1:5" x14ac:dyDescent="0.3">
      <c r="A71" s="127"/>
      <c r="B71" s="127"/>
      <c r="C71" s="127"/>
      <c r="D71" s="127"/>
      <c r="E71" s="127"/>
    </row>
    <row r="72" spans="1:5" x14ac:dyDescent="0.3">
      <c r="A72" s="127"/>
      <c r="B72" s="127"/>
      <c r="C72" s="127"/>
      <c r="D72" s="127"/>
      <c r="E72" s="127"/>
    </row>
    <row r="73" spans="1:5" x14ac:dyDescent="0.3">
      <c r="A73" s="127"/>
      <c r="B73" s="127"/>
      <c r="C73" s="127"/>
      <c r="D73" s="127"/>
      <c r="E73" s="127"/>
    </row>
    <row r="74" spans="1:5" x14ac:dyDescent="0.3">
      <c r="A74" s="127"/>
      <c r="B74" s="127"/>
      <c r="C74" s="127"/>
      <c r="D74" s="127"/>
      <c r="E74" s="127"/>
    </row>
    <row r="75" spans="1:5" x14ac:dyDescent="0.3">
      <c r="A75" s="127"/>
      <c r="B75" s="127"/>
      <c r="C75" s="127"/>
      <c r="D75" s="127"/>
      <c r="E75" s="127"/>
    </row>
    <row r="76" spans="1:5" x14ac:dyDescent="0.3">
      <c r="A76" s="127"/>
      <c r="B76" s="127"/>
      <c r="C76" s="127"/>
      <c r="D76" s="127"/>
      <c r="E76" s="127"/>
    </row>
    <row r="77" spans="1:5" x14ac:dyDescent="0.3">
      <c r="A77" s="127"/>
      <c r="B77" s="127"/>
      <c r="C77" s="127"/>
      <c r="D77" s="127"/>
      <c r="E77" s="127"/>
    </row>
    <row r="78" spans="1:5" x14ac:dyDescent="0.3">
      <c r="A78" s="127"/>
      <c r="B78" s="127"/>
      <c r="C78" s="127"/>
      <c r="D78" s="127"/>
      <c r="E78" s="127"/>
    </row>
    <row r="79" spans="1:5" x14ac:dyDescent="0.3">
      <c r="A79" s="127"/>
      <c r="B79" s="127"/>
      <c r="C79" s="127"/>
      <c r="D79" s="127"/>
      <c r="E79" s="127"/>
    </row>
    <row r="80" spans="1:5" x14ac:dyDescent="0.3">
      <c r="A80" s="127"/>
      <c r="B80" s="127"/>
      <c r="C80" s="127"/>
      <c r="D80" s="127"/>
      <c r="E80" s="127"/>
    </row>
    <row r="81" spans="1:5" x14ac:dyDescent="0.3">
      <c r="A81" s="127"/>
      <c r="B81" s="127"/>
      <c r="C81" s="127"/>
      <c r="D81" s="127"/>
      <c r="E81" s="12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A2E6-45D2-48CB-A229-CF192E74E92B}">
  <dimension ref="A1:Q196"/>
  <sheetViews>
    <sheetView showGridLines="0" workbookViewId="0">
      <selection activeCell="B5" sqref="B5:D5"/>
    </sheetView>
  </sheetViews>
  <sheetFormatPr defaultRowHeight="14.4" outlineLevelRow="1" x14ac:dyDescent="0.3"/>
  <cols>
    <col min="1" max="1" width="3.44140625" customWidth="1"/>
    <col min="2" max="17" width="13" customWidth="1"/>
  </cols>
  <sheetData>
    <row r="1" spans="1:17" ht="23.4" x14ac:dyDescent="0.45">
      <c r="A1" s="346" t="s">
        <v>610</v>
      </c>
      <c r="B1" s="346"/>
      <c r="C1" s="346"/>
      <c r="D1" s="346"/>
      <c r="E1" s="346"/>
      <c r="F1" s="346"/>
      <c r="G1" s="346"/>
      <c r="H1" s="346"/>
      <c r="I1" s="346"/>
      <c r="J1" s="346"/>
      <c r="K1" s="346"/>
      <c r="L1" s="346"/>
      <c r="M1" s="346"/>
      <c r="N1" s="346"/>
      <c r="O1" s="346"/>
      <c r="P1" s="346"/>
      <c r="Q1" s="346"/>
    </row>
    <row r="2" spans="1:17" x14ac:dyDescent="0.3">
      <c r="A2" s="347" t="s">
        <v>611</v>
      </c>
      <c r="B2" s="347"/>
      <c r="C2" s="347"/>
      <c r="D2" s="347"/>
      <c r="E2" s="347"/>
      <c r="F2" s="347"/>
      <c r="G2" s="347"/>
      <c r="H2" s="347"/>
      <c r="I2" s="347"/>
      <c r="J2" s="347"/>
      <c r="K2" s="347"/>
      <c r="L2" s="347"/>
      <c r="M2" s="347"/>
      <c r="N2" s="347"/>
      <c r="O2" s="347"/>
      <c r="P2" s="347"/>
      <c r="Q2" s="347"/>
    </row>
    <row r="4" spans="1:17" ht="16.2" thickBot="1" x14ac:dyDescent="0.35">
      <c r="A4" s="348" t="s">
        <v>612</v>
      </c>
      <c r="B4" s="348"/>
      <c r="C4" s="348"/>
      <c r="D4" s="348"/>
      <c r="E4" s="348"/>
      <c r="F4" s="348"/>
      <c r="G4" s="348"/>
      <c r="H4" s="348"/>
      <c r="I4" s="348"/>
      <c r="J4" s="348"/>
      <c r="K4" s="348"/>
      <c r="L4" s="348"/>
      <c r="M4" s="348"/>
      <c r="N4" s="348"/>
      <c r="O4" s="348"/>
      <c r="P4" s="348"/>
      <c r="Q4" s="348"/>
    </row>
    <row r="5" spans="1:17" ht="18" customHeight="1" thickTop="1" x14ac:dyDescent="0.3">
      <c r="B5" s="337" t="s">
        <v>646</v>
      </c>
      <c r="C5" s="338"/>
      <c r="D5" s="339"/>
      <c r="F5" s="337" t="s">
        <v>647</v>
      </c>
      <c r="G5" s="338"/>
      <c r="H5" s="339"/>
      <c r="J5" s="337" t="s">
        <v>648</v>
      </c>
      <c r="K5" s="338"/>
      <c r="L5" s="339"/>
      <c r="N5" s="337" t="s">
        <v>649</v>
      </c>
      <c r="O5" s="338"/>
      <c r="P5" s="339"/>
    </row>
    <row r="6" spans="1:17" ht="38.1" customHeight="1" x14ac:dyDescent="0.55000000000000004">
      <c r="B6" s="340">
        <f>'Profit &amp; Loss'!K4</f>
        <v>64468</v>
      </c>
      <c r="C6" s="341"/>
      <c r="D6" s="342"/>
      <c r="F6" s="340">
        <f>'Profit &amp; Loss'!K12</f>
        <v>15040</v>
      </c>
      <c r="G6" s="341"/>
      <c r="H6" s="342"/>
      <c r="J6" s="343">
        <f>'Ratio analysis'!L10</f>
        <v>0.23329403735186449</v>
      </c>
      <c r="K6" s="344"/>
      <c r="L6" s="345"/>
      <c r="N6" s="343">
        <f>'Ratio analysis'!L12</f>
        <v>0.30649779399027927</v>
      </c>
      <c r="O6" s="344"/>
      <c r="P6" s="345"/>
    </row>
    <row r="7" spans="1:17" ht="15" thickBot="1" x14ac:dyDescent="0.35"/>
    <row r="8" spans="1:17" ht="18" customHeight="1" thickTop="1" x14ac:dyDescent="0.3">
      <c r="B8" s="337" t="s">
        <v>650</v>
      </c>
      <c r="C8" s="338"/>
      <c r="D8" s="339"/>
      <c r="F8" s="337" t="s">
        <v>651</v>
      </c>
      <c r="G8" s="338"/>
      <c r="H8" s="339"/>
      <c r="J8" s="337" t="s">
        <v>652</v>
      </c>
      <c r="K8" s="338"/>
      <c r="L8" s="339"/>
      <c r="N8" s="337" t="s">
        <v>653</v>
      </c>
      <c r="O8" s="338"/>
      <c r="P8" s="339"/>
    </row>
    <row r="9" spans="1:17" ht="38.1" customHeight="1" x14ac:dyDescent="0.55000000000000004">
      <c r="B9" s="328">
        <f>'Profit &amp; Loss'!K13</f>
        <v>64.010895471569626</v>
      </c>
      <c r="C9" s="329"/>
      <c r="D9" s="330"/>
      <c r="F9" s="331">
        <f>'Ratio analysis'!L28</f>
        <v>32.107034042553188</v>
      </c>
      <c r="G9" s="332"/>
      <c r="H9" s="333"/>
      <c r="J9" s="334">
        <f>'Ratio analysis'!L4</f>
        <v>0.57826631889163649</v>
      </c>
      <c r="K9" s="335"/>
      <c r="L9" s="336"/>
      <c r="N9" s="334">
        <f>'Ratio analysis'!L22</f>
        <v>6.0239858978408618E-2</v>
      </c>
      <c r="O9" s="335"/>
      <c r="P9" s="336"/>
    </row>
    <row r="11" spans="1:17" ht="15.6" x14ac:dyDescent="0.3">
      <c r="A11" s="348" t="s">
        <v>613</v>
      </c>
      <c r="B11" s="348"/>
      <c r="C11" s="348"/>
      <c r="D11" s="348"/>
      <c r="E11" s="348"/>
      <c r="F11" s="348"/>
      <c r="G11" s="348"/>
      <c r="H11" s="348"/>
      <c r="I11" s="348"/>
      <c r="J11" s="348"/>
      <c r="K11" s="348"/>
      <c r="L11" s="348"/>
      <c r="M11" s="348"/>
      <c r="N11" s="348"/>
      <c r="O11" s="348"/>
      <c r="P11" s="348"/>
      <c r="Q11" s="348"/>
    </row>
    <row r="98" spans="1:17" ht="18" customHeight="1" x14ac:dyDescent="0.3">
      <c r="A98" s="349" t="s">
        <v>614</v>
      </c>
      <c r="B98" s="349"/>
      <c r="C98" s="349"/>
      <c r="D98" s="349"/>
      <c r="E98" s="349"/>
      <c r="F98" s="349"/>
      <c r="G98" s="349"/>
      <c r="H98" s="349"/>
      <c r="I98" s="349"/>
      <c r="J98" s="349"/>
      <c r="K98" s="349"/>
      <c r="L98" s="349"/>
      <c r="M98" s="349"/>
      <c r="N98" s="349"/>
      <c r="O98" s="349"/>
      <c r="P98" s="349"/>
      <c r="Q98" s="349"/>
    </row>
    <row r="99" spans="1:17" outlineLevel="1" x14ac:dyDescent="0.3"/>
    <row r="100" spans="1:17" outlineLevel="1" x14ac:dyDescent="0.3">
      <c r="A100" t="s">
        <v>620</v>
      </c>
      <c r="B100" t="s">
        <v>615</v>
      </c>
      <c r="C100" t="s">
        <v>616</v>
      </c>
    </row>
    <row r="101" spans="1:17" outlineLevel="1" x14ac:dyDescent="0.3">
      <c r="A101" t="str" cm="1">
        <f t="array" ref="A101">INDEX('Ratio analysis'!$C$2:$L$2,ROW()-100)</f>
        <v>FY17</v>
      </c>
      <c r="B101" s="305" cm="1">
        <f t="array" ref="B101">INDEX('Profit &amp; Loss'!$B$4:$K$4,ROW()-100)</f>
        <v>33162</v>
      </c>
      <c r="C101" s="305" cm="1">
        <f t="array" ref="C101">INDEX('Profit &amp; Loss'!$B$12:$K$12,ROW()-100)</f>
        <v>4476</v>
      </c>
    </row>
    <row r="102" spans="1:17" outlineLevel="1" x14ac:dyDescent="0.3">
      <c r="A102" t="str" cm="1">
        <f t="array" ref="A102">INDEX('Ratio analysis'!$C$2:$L$2,ROW()-100)</f>
        <v>FY18</v>
      </c>
      <c r="B102" s="305" cm="1">
        <f t="array" ref="B102">INDEX('Profit &amp; Loss'!$B$4:$K$4,ROW()-100)</f>
        <v>35545</v>
      </c>
      <c r="C102" s="305" cm="1">
        <f t="array" ref="C102">INDEX('Profit &amp; Loss'!$B$12:$K$12,ROW()-100)</f>
        <v>5214</v>
      </c>
    </row>
    <row r="103" spans="1:17" outlineLevel="1" x14ac:dyDescent="0.3">
      <c r="A103" t="str" cm="1">
        <f t="array" ref="A103">INDEX('Ratio analysis'!$C$2:$L$2,ROW()-100)</f>
        <v>FY19</v>
      </c>
      <c r="B103" s="305" cm="1">
        <f t="array" ref="B103">INDEX('Profit &amp; Loss'!$B$4:$K$4,ROW()-100)</f>
        <v>39310</v>
      </c>
      <c r="C103" s="305" cm="1">
        <f t="array" ref="C103">INDEX('Profit &amp; Loss'!$B$12:$K$12,ROW()-100)</f>
        <v>6054</v>
      </c>
    </row>
    <row r="104" spans="1:17" outlineLevel="1" x14ac:dyDescent="0.3">
      <c r="A104" t="str" cm="1">
        <f t="array" ref="A104">INDEX('Ratio analysis'!$C$2:$L$2,ROW()-100)</f>
        <v>FY20</v>
      </c>
      <c r="B104" s="305" cm="1">
        <f t="array" ref="B104">INDEX('Profit &amp; Loss'!$B$4:$K$4,ROW()-100)</f>
        <v>39783</v>
      </c>
      <c r="C104" s="305" cm="1">
        <f t="array" ref="C104">INDEX('Profit &amp; Loss'!$B$12:$K$12,ROW()-100)</f>
        <v>6748</v>
      </c>
    </row>
    <row r="105" spans="1:17" outlineLevel="1" x14ac:dyDescent="0.3">
      <c r="A105" t="str" cm="1">
        <f t="array" ref="A105">INDEX('Ratio analysis'!$C$2:$L$2,ROW()-100)</f>
        <v>FY21</v>
      </c>
      <c r="B105" s="305" cm="1">
        <f t="array" ref="B105">INDEX('Profit &amp; Loss'!$B$4:$K$4,ROW()-100)</f>
        <v>47028</v>
      </c>
      <c r="C105" s="305" cm="1">
        <f t="array" ref="C105">INDEX('Profit &amp; Loss'!$B$12:$K$12,ROW()-100)</f>
        <v>7995</v>
      </c>
    </row>
    <row r="106" spans="1:17" outlineLevel="1" x14ac:dyDescent="0.3">
      <c r="A106" t="str" cm="1">
        <f t="array" ref="A106">INDEX('Ratio analysis'!$C$2:$L$2,ROW()-100)</f>
        <v>FY22</v>
      </c>
      <c r="B106" s="305" cm="1">
        <f t="array" ref="B106">INDEX('Profit &amp; Loss'!$B$4:$K$4,ROW()-100)</f>
        <v>52446</v>
      </c>
      <c r="C106" s="305" cm="1">
        <f t="array" ref="C106">INDEX('Profit &amp; Loss'!$B$12:$K$12,ROW()-100)</f>
        <v>8879</v>
      </c>
    </row>
    <row r="107" spans="1:17" outlineLevel="1" x14ac:dyDescent="0.3">
      <c r="A107" t="str" cm="1">
        <f t="array" ref="A107">INDEX('Ratio analysis'!$C$2:$L$2,ROW()-100)</f>
        <v>FY23</v>
      </c>
      <c r="B107" s="305" cm="1">
        <f t="array" ref="B107">INDEX('Profit &amp; Loss'!$B$4:$K$4,ROW()-100)</f>
        <v>60580</v>
      </c>
      <c r="C107" s="305" cm="1">
        <f t="array" ref="C107">INDEX('Profit &amp; Loss'!$B$12:$K$12,ROW()-100)</f>
        <v>10120</v>
      </c>
    </row>
    <row r="108" spans="1:17" outlineLevel="1" x14ac:dyDescent="0.3">
      <c r="A108" t="str" cm="1">
        <f t="array" ref="A108">INDEX('Ratio analysis'!$C$2:$L$2,ROW()-100)</f>
        <v>FY24</v>
      </c>
      <c r="B108" s="305" cm="1">
        <f t="array" ref="B108">INDEX('Profit &amp; Loss'!$B$4:$K$4,ROW()-100)</f>
        <v>61896</v>
      </c>
      <c r="C108" s="305" cm="1">
        <f t="array" ref="C108">INDEX('Profit &amp; Loss'!$B$12:$K$12,ROW()-100)</f>
        <v>10277</v>
      </c>
    </row>
    <row r="109" spans="1:17" outlineLevel="1" x14ac:dyDescent="0.3">
      <c r="A109" t="str" cm="1">
        <f t="array" ref="A109">INDEX('Ratio analysis'!$C$2:$L$2,ROW()-100)</f>
        <v>FY25</v>
      </c>
      <c r="B109" s="305" cm="1">
        <f t="array" ref="B109">INDEX('Profit &amp; Loss'!$B$4:$K$4,ROW()-100)</f>
        <v>61328</v>
      </c>
      <c r="C109" s="305" cm="1">
        <f t="array" ref="C109">INDEX('Profit &amp; Loss'!$B$12:$K$12,ROW()-100)</f>
        <v>10649</v>
      </c>
    </row>
    <row r="110" spans="1:17" outlineLevel="1" x14ac:dyDescent="0.3">
      <c r="A110" t="str" cm="1">
        <f t="array" ref="A110">INDEX('Ratio analysis'!$C$2:$L$2,ROW()-100)</f>
        <v>FY26</v>
      </c>
      <c r="B110" s="305" cm="1">
        <f t="array" ref="B110">INDEX('Profit &amp; Loss'!$B$4:$K$4,ROW()-100)</f>
        <v>64468</v>
      </c>
      <c r="C110" s="305" cm="1">
        <f t="array" ref="C110">INDEX('Profit &amp; Loss'!$B$12:$K$12,ROW()-100)</f>
        <v>15040</v>
      </c>
    </row>
    <row r="111" spans="1:17" outlineLevel="1" x14ac:dyDescent="0.3"/>
    <row r="112" spans="1:17" outlineLevel="1" x14ac:dyDescent="0.3">
      <c r="A112" t="s">
        <v>620</v>
      </c>
      <c r="B112" t="s">
        <v>621</v>
      </c>
      <c r="C112" t="s">
        <v>617</v>
      </c>
    </row>
    <row r="113" spans="1:4" outlineLevel="1" x14ac:dyDescent="0.3">
      <c r="A113" t="str" cm="1">
        <f t="array" ref="A113">INDEX('Ratio analysis'!$C$2:$L$2,ROW()-112)</f>
        <v>FY17</v>
      </c>
      <c r="B113" s="80" cm="1">
        <f t="array" ref="B113">INDEX('Ratio analysis'!$C$9:$L$9,ROW()-112)</f>
        <v>0.19606778843254327</v>
      </c>
      <c r="C113" s="80" cm="1">
        <f t="array" ref="C113">INDEX('Ratio analysis'!$C$10:$L$10,ROW()-112)</f>
        <v>0.13497376515288584</v>
      </c>
    </row>
    <row r="114" spans="1:4" outlineLevel="1" x14ac:dyDescent="0.3">
      <c r="A114" t="str" cm="1">
        <f t="array" ref="A114">INDEX('Ratio analysis'!$C$2:$L$2,ROW()-112)</f>
        <v>FY18</v>
      </c>
      <c r="B114" s="80" cm="1">
        <f t="array" ref="B114">INDEX('Ratio analysis'!$C$9:$L$9,ROW()-112)</f>
        <v>0.20627373751582501</v>
      </c>
      <c r="C114" s="80" cm="1">
        <f t="array" ref="C114">INDEX('Ratio analysis'!$C$10:$L$10,ROW()-112)</f>
        <v>0.14668729779153186</v>
      </c>
    </row>
    <row r="115" spans="1:4" outlineLevel="1" x14ac:dyDescent="0.3">
      <c r="A115" t="str" cm="1">
        <f t="array" ref="A115">INDEX('Ratio analysis'!$C$2:$L$2,ROW()-112)</f>
        <v>FY19</v>
      </c>
      <c r="B115" s="80" cm="1">
        <f t="array" ref="B115">INDEX('Ratio analysis'!$C$9:$L$9,ROW()-112)</f>
        <v>0.21971508522004579</v>
      </c>
      <c r="C115" s="80" cm="1">
        <f t="array" ref="C115">INDEX('Ratio analysis'!$C$10:$L$10,ROW()-112)</f>
        <v>0.15400661409310609</v>
      </c>
    </row>
    <row r="116" spans="1:4" outlineLevel="1" x14ac:dyDescent="0.3">
      <c r="A116" t="str" cm="1">
        <f t="array" ref="A116">INDEX('Ratio analysis'!$C$2:$L$2,ROW()-112)</f>
        <v>FY20</v>
      </c>
      <c r="B116" s="80" cm="1">
        <f t="array" ref="B116">INDEX('Ratio analysis'!$C$9:$L$9,ROW()-112)</f>
        <v>0.233340874242767</v>
      </c>
      <c r="C116" s="80" cm="1">
        <f t="array" ref="C116">INDEX('Ratio analysis'!$C$10:$L$10,ROW()-112)</f>
        <v>0.16962018952819044</v>
      </c>
    </row>
    <row r="117" spans="1:4" outlineLevel="1" x14ac:dyDescent="0.3">
      <c r="A117" t="str" cm="1">
        <f t="array" ref="A117">INDEX('Ratio analysis'!$C$2:$L$2,ROW()-112)</f>
        <v>FY21</v>
      </c>
      <c r="B117" s="80" cm="1">
        <f t="array" ref="B117">INDEX('Ratio analysis'!$C$9:$L$9,ROW()-112)</f>
        <v>0.22799183465169687</v>
      </c>
      <c r="C117" s="80" cm="1">
        <f t="array" ref="C117">INDEX('Ratio analysis'!$C$10:$L$10,ROW()-112)</f>
        <v>0.17000510334268945</v>
      </c>
    </row>
    <row r="118" spans="1:4" outlineLevel="1" x14ac:dyDescent="0.3">
      <c r="A118" t="str" cm="1">
        <f t="array" ref="A118">INDEX('Ratio analysis'!$C$2:$L$2,ROW()-112)</f>
        <v>FY22</v>
      </c>
      <c r="B118" s="80" cm="1">
        <f t="array" ref="B118">INDEX('Ratio analysis'!$C$9:$L$9,ROW()-112)</f>
        <v>0.22852076421462075</v>
      </c>
      <c r="C118" s="80" cm="1">
        <f t="array" ref="C118">INDEX('Ratio analysis'!$C$10:$L$10,ROW()-112)</f>
        <v>0.16929794455249209</v>
      </c>
    </row>
    <row r="119" spans="1:4" outlineLevel="1" x14ac:dyDescent="0.3">
      <c r="A119" t="str" cm="1">
        <f t="array" ref="A119">INDEX('Ratio analysis'!$C$2:$L$2,ROW()-112)</f>
        <v>FY23</v>
      </c>
      <c r="B119" s="80" cm="1">
        <f t="array" ref="B119">INDEX('Ratio analysis'!$C$9:$L$9,ROW()-112)</f>
        <v>0.22215252558600199</v>
      </c>
      <c r="C119" s="80" cm="1">
        <f t="array" ref="C119">INDEX('Ratio analysis'!$C$10:$L$10,ROW()-112)</f>
        <v>0.16705183228788378</v>
      </c>
    </row>
    <row r="120" spans="1:4" outlineLevel="1" x14ac:dyDescent="0.3">
      <c r="A120" t="str" cm="1">
        <f t="array" ref="A120">INDEX('Ratio analysis'!$C$2:$L$2,ROW()-112)</f>
        <v>FY24</v>
      </c>
      <c r="B120" s="80" cm="1">
        <f t="array" ref="B120">INDEX('Ratio analysis'!$C$9:$L$9,ROW()-112)</f>
        <v>0.23038645469820343</v>
      </c>
      <c r="C120" s="80" cm="1">
        <f t="array" ref="C120">INDEX('Ratio analysis'!$C$10:$L$10,ROW()-112)</f>
        <v>0.16603657748481324</v>
      </c>
    </row>
    <row r="121" spans="1:4" outlineLevel="1" x14ac:dyDescent="0.3">
      <c r="A121" t="str" cm="1">
        <f t="array" ref="A121">INDEX('Ratio analysis'!$C$2:$L$2,ROW()-112)</f>
        <v>FY25</v>
      </c>
      <c r="B121" s="80" cm="1">
        <f t="array" ref="B121">INDEX('Ratio analysis'!$C$9:$L$9,ROW()-112)</f>
        <v>0.24132533263762065</v>
      </c>
      <c r="C121" s="80" cm="1">
        <f t="array" ref="C121">INDEX('Ratio analysis'!$C$10:$L$10,ROW()-112)</f>
        <v>0.17364009913905556</v>
      </c>
    </row>
    <row r="122" spans="1:4" outlineLevel="1" x14ac:dyDescent="0.3">
      <c r="A122" t="str" cm="1">
        <f t="array" ref="A122">INDEX('Ratio analysis'!$C$2:$L$2,ROW()-112)</f>
        <v>FY26</v>
      </c>
      <c r="B122" s="80" cm="1">
        <f t="array" ref="B122">INDEX('Ratio analysis'!$C$9:$L$9,ROW()-112)</f>
        <v>0.28896506794068377</v>
      </c>
      <c r="C122" s="80" cm="1">
        <f t="array" ref="C122">INDEX('Ratio analysis'!$C$10:$L$10,ROW()-112)</f>
        <v>0.23329403735186449</v>
      </c>
    </row>
    <row r="123" spans="1:4" outlineLevel="1" x14ac:dyDescent="0.3"/>
    <row r="124" spans="1:4" outlineLevel="1" x14ac:dyDescent="0.3">
      <c r="A124" t="s">
        <v>620</v>
      </c>
      <c r="B124" t="s">
        <v>622</v>
      </c>
      <c r="C124" t="s">
        <v>623</v>
      </c>
      <c r="D124" t="s">
        <v>624</v>
      </c>
    </row>
    <row r="125" spans="1:4" outlineLevel="1" x14ac:dyDescent="0.3">
      <c r="A125" t="str" cm="1">
        <f t="array" ref="A125">INDEX('Ratio analysis'!$C$2:$L$2,ROW()-124)</f>
        <v>FY17</v>
      </c>
      <c r="B125" s="80" cm="1">
        <f t="array" ref="B125">INDEX('Ratio analysis'!$C$11:$L$11,ROW()-124)</f>
        <v>0.28498662931363811</v>
      </c>
      <c r="C125" s="80" cm="1">
        <f t="array" ref="C125">INDEX('Ratio analysis'!$C$12:$L$12,ROW()-124)</f>
        <v>0.66370106761565839</v>
      </c>
      <c r="D125" s="80" cm="1">
        <f t="array" ref="D125">INDEX('Ratio analysis'!$C$13:$L$13,ROW()-124)</f>
        <v>0.96411625148279956</v>
      </c>
    </row>
    <row r="126" spans="1:4" outlineLevel="1" x14ac:dyDescent="0.3">
      <c r="A126" t="str" cm="1">
        <f t="array" ref="A126">INDEX('Ratio analysis'!$C$2:$L$2,ROW()-124)</f>
        <v>FY18</v>
      </c>
      <c r="B126" s="80" cm="1">
        <f t="array" ref="B126">INDEX('Ratio analysis'!$C$11:$L$11,ROW()-124)</f>
        <v>0.31065300285986652</v>
      </c>
      <c r="C126" s="80" cm="1">
        <f t="array" ref="C126">INDEX('Ratio analysis'!$C$12:$L$12,ROW()-124)</f>
        <v>0.74352941176470588</v>
      </c>
      <c r="D126" s="80" cm="1">
        <f t="array" ref="D126">INDEX('Ratio analysis'!$C$13:$L$13,ROW()-124)</f>
        <v>1.0455614973262033</v>
      </c>
    </row>
    <row r="127" spans="1:4" outlineLevel="1" x14ac:dyDescent="0.3">
      <c r="A127" t="str" cm="1">
        <f t="array" ref="A127">INDEX('Ratio analysis'!$C$2:$L$2,ROW()-124)</f>
        <v>FY19</v>
      </c>
      <c r="B127" s="80" cm="1">
        <f t="array" ref="B127">INDEX('Ratio analysis'!$C$11:$L$11,ROW()-124)</f>
        <v>0.33180784302978816</v>
      </c>
      <c r="C127" s="80" cm="1">
        <f t="array" ref="C127">INDEX('Ratio analysis'!$C$12:$L$12,ROW()-124)</f>
        <v>0.79931344071824662</v>
      </c>
      <c r="D127" s="80" cm="1">
        <f t="array" ref="D127">INDEX('Ratio analysis'!$C$13:$L$13,ROW()-124)</f>
        <v>1.140348560866121</v>
      </c>
    </row>
    <row r="128" spans="1:4" outlineLevel="1" x14ac:dyDescent="0.3">
      <c r="A128" t="str" cm="1">
        <f t="array" ref="A128">INDEX('Ratio analysis'!$C$2:$L$2,ROW()-124)</f>
        <v>FY20</v>
      </c>
      <c r="B128" s="80" cm="1">
        <f t="array" ref="B128">INDEX('Ratio analysis'!$C$11:$L$11,ROW()-124)</f>
        <v>0.34799649321850346</v>
      </c>
      <c r="C128" s="80" cm="1">
        <f t="array" ref="C128">INDEX('Ratio analysis'!$C$12:$L$12,ROW()-124)</f>
        <v>0.83846918489065603</v>
      </c>
      <c r="D128" s="80" cm="1">
        <f t="array" ref="D128">INDEX('Ratio analysis'!$C$13:$L$13,ROW()-124)</f>
        <v>1.1534542743538767</v>
      </c>
    </row>
    <row r="129" spans="1:4" outlineLevel="1" x14ac:dyDescent="0.3">
      <c r="A129" t="str" cm="1">
        <f t="array" ref="A129">INDEX('Ratio analysis'!$C$2:$L$2,ROW()-124)</f>
        <v>FY21</v>
      </c>
      <c r="B129" s="80" cm="1">
        <f t="array" ref="B129">INDEX('Ratio analysis'!$C$11:$L$11,ROW()-124)</f>
        <v>0.17987918058789781</v>
      </c>
      <c r="C129" s="80" cm="1">
        <f t="array" ref="C129">INDEX('Ratio analysis'!$C$12:$L$12,ROW()-124)</f>
        <v>0.28603116111836574</v>
      </c>
      <c r="D129" s="80" cm="1">
        <f t="array" ref="D129">INDEX('Ratio analysis'!$C$13:$L$13,ROW()-124)</f>
        <v>0.38359300931971452</v>
      </c>
    </row>
    <row r="130" spans="1:4" outlineLevel="1" x14ac:dyDescent="0.3">
      <c r="A130" t="str" cm="1">
        <f t="array" ref="A130">INDEX('Ratio analysis'!$C$2:$L$2,ROW()-124)</f>
        <v>FY22</v>
      </c>
      <c r="B130" s="80" cm="1">
        <f t="array" ref="B130">INDEX('Ratio analysis'!$C$11:$L$11,ROW()-124)</f>
        <v>0.12752969564655359</v>
      </c>
      <c r="C130" s="80" cm="1">
        <f t="array" ref="C130">INDEX('Ratio analysis'!$C$12:$L$12,ROW()-124)</f>
        <v>0.18357368067400631</v>
      </c>
      <c r="D130" s="80" cm="1">
        <f t="array" ref="D130">INDEX('Ratio analysis'!$C$13:$L$13,ROW()-124)</f>
        <v>0.247790355093813</v>
      </c>
    </row>
    <row r="131" spans="1:4" outlineLevel="1" x14ac:dyDescent="0.3">
      <c r="A131" t="str" cm="1">
        <f t="array" ref="A131">INDEX('Ratio analysis'!$C$2:$L$2,ROW()-124)</f>
        <v>FY23</v>
      </c>
      <c r="B131" s="80" cm="1">
        <f t="array" ref="B131">INDEX('Ratio analysis'!$C$11:$L$11,ROW()-124)</f>
        <v>0.14096376311958936</v>
      </c>
      <c r="C131" s="80" cm="1">
        <f t="array" ref="C131">INDEX('Ratio analysis'!$C$12:$L$12,ROW()-124)</f>
        <v>0.20369345342927589</v>
      </c>
      <c r="D131" s="80" cm="1">
        <f t="array" ref="D131">INDEX('Ratio analysis'!$C$13:$L$13,ROW()-124)</f>
        <v>0.27088008856237106</v>
      </c>
    </row>
    <row r="132" spans="1:4" outlineLevel="1" x14ac:dyDescent="0.3">
      <c r="A132" t="str" cm="1">
        <f t="array" ref="A132">INDEX('Ratio analysis'!$C$2:$L$2,ROW()-124)</f>
        <v>FY24</v>
      </c>
      <c r="B132" s="80" cm="1">
        <f t="array" ref="B132">INDEX('Ratio analysis'!$C$11:$L$11,ROW()-124)</f>
        <v>0.1356108889856564</v>
      </c>
      <c r="C132" s="80" cm="1">
        <f t="array" ref="C132">INDEX('Ratio analysis'!$C$12:$L$12,ROW()-124)</f>
        <v>0.20245858040621736</v>
      </c>
      <c r="D132" s="80" cm="1">
        <f t="array" ref="D132">INDEX('Ratio analysis'!$C$13:$L$13,ROW()-124)</f>
        <v>0.28092433167195285</v>
      </c>
    </row>
    <row r="133" spans="1:4" outlineLevel="1" x14ac:dyDescent="0.3">
      <c r="A133" t="str" cm="1">
        <f t="array" ref="A133">INDEX('Ratio analysis'!$C$2:$L$2,ROW()-124)</f>
        <v>FY25</v>
      </c>
      <c r="B133" s="80" cm="1">
        <f t="array" ref="B133">INDEX('Ratio analysis'!$C$11:$L$11,ROW()-124)</f>
        <v>0.13449782762453269</v>
      </c>
      <c r="C133" s="80" cm="1">
        <f t="array" ref="C133">INDEX('Ratio analysis'!$C$12:$L$12,ROW()-124)</f>
        <v>0.21166766050486982</v>
      </c>
      <c r="D133" s="80" cm="1">
        <f t="array" ref="D133">INDEX('Ratio analysis'!$C$13:$L$13,ROW()-124)</f>
        <v>0.29417610812959649</v>
      </c>
    </row>
    <row r="134" spans="1:4" outlineLevel="1" x14ac:dyDescent="0.3">
      <c r="A134" t="str" cm="1">
        <f t="array" ref="A134">INDEX('Ratio analysis'!$C$2:$L$2,ROW()-124)</f>
        <v>FY26</v>
      </c>
      <c r="B134" s="80" cm="1">
        <f t="array" ref="B134">INDEX('Ratio analysis'!$C$11:$L$11,ROW()-124)</f>
        <v>0.1884699970551563</v>
      </c>
      <c r="C134" s="80" cm="1">
        <f t="array" ref="C134">INDEX('Ratio analysis'!$C$12:$L$12,ROW()-124)</f>
        <v>0.30649779399027927</v>
      </c>
      <c r="D134" s="80" cm="1">
        <f t="array" ref="D134">INDEX('Ratio analysis'!$C$13:$L$13,ROW()-124)</f>
        <v>0.3796374603886245</v>
      </c>
    </row>
    <row r="135" spans="1:4" outlineLevel="1" x14ac:dyDescent="0.3"/>
    <row r="136" spans="1:4" outlineLevel="1" x14ac:dyDescent="0.3">
      <c r="A136" t="s">
        <v>620</v>
      </c>
      <c r="B136" t="s">
        <v>625</v>
      </c>
      <c r="C136" t="s">
        <v>626</v>
      </c>
    </row>
    <row r="137" spans="1:4" outlineLevel="1" x14ac:dyDescent="0.3">
      <c r="A137" t="str" cm="1">
        <f t="array" ref="A137">INDEX('Ratio analysis'!$C$2:$L$2,ROW()-136)</f>
        <v>FY17</v>
      </c>
      <c r="B137" s="23" cm="1">
        <f t="array" ref="B137">INDEX('Ratio analysis'!$C$4:$L$4,ROW()-136)</f>
        <v>0.83638457109959696</v>
      </c>
      <c r="C137" s="23" cm="1">
        <f t="array" ref="C137">INDEX('Ratio analysis'!$C$5:$L$5,ROW()-136)</f>
        <v>0.54381116868163504</v>
      </c>
    </row>
    <row r="138" spans="1:4" outlineLevel="1" x14ac:dyDescent="0.3">
      <c r="A138" t="str" cm="1">
        <f t="array" ref="A138">INDEX('Ratio analysis'!$C$2:$L$2,ROW()-136)</f>
        <v>FY18</v>
      </c>
      <c r="B138" s="23" cm="1">
        <f t="array" ref="B138">INDEX('Ratio analysis'!$C$4:$L$4,ROW()-136)</f>
        <v>0.9450902561194594</v>
      </c>
      <c r="C138" s="23" cm="1">
        <f t="array" ref="C138">INDEX('Ratio analysis'!$C$5:$L$5,ROW()-136)</f>
        <v>0.70758907475663924</v>
      </c>
    </row>
    <row r="139" spans="1:4" outlineLevel="1" x14ac:dyDescent="0.3">
      <c r="A139" t="str" cm="1">
        <f t="array" ref="A139">INDEX('Ratio analysis'!$C$2:$L$2,ROW()-136)</f>
        <v>FY19</v>
      </c>
      <c r="B139" s="23" cm="1">
        <f t="array" ref="B139">INDEX('Ratio analysis'!$C$4:$L$4,ROW()-136)</f>
        <v>1.0120979086561006</v>
      </c>
      <c r="C139" s="23" cm="1">
        <f t="array" ref="C139">INDEX('Ratio analysis'!$C$5:$L$5,ROW()-136)</f>
        <v>0.770702428959955</v>
      </c>
    </row>
    <row r="140" spans="1:4" outlineLevel="1" x14ac:dyDescent="0.3">
      <c r="A140" t="str" cm="1">
        <f t="array" ref="A140">INDEX('Ratio analysis'!$C$2:$L$2,ROW()-136)</f>
        <v>FY20</v>
      </c>
      <c r="B140" s="23" cm="1">
        <f t="array" ref="B140">INDEX('Ratio analysis'!$C$4:$L$4,ROW()-136)</f>
        <v>1.0753102985575311</v>
      </c>
      <c r="C140" s="23" cm="1">
        <f t="array" ref="C140">INDEX('Ratio analysis'!$C$5:$L$5,ROW()-136)</f>
        <v>0.84325729620932577</v>
      </c>
    </row>
    <row r="141" spans="1:4" outlineLevel="1" x14ac:dyDescent="0.3">
      <c r="A141" t="str" cm="1">
        <f t="array" ref="A141">INDEX('Ratio analysis'!$C$2:$L$2,ROW()-136)</f>
        <v>FY21</v>
      </c>
      <c r="B141" s="23" cm="1">
        <f t="array" ref="B141">INDEX('Ratio analysis'!$C$4:$L$4,ROW()-136)</f>
        <v>0.65712522548181906</v>
      </c>
      <c r="C141" s="23" cm="1">
        <f t="array" ref="C141">INDEX('Ratio analysis'!$C$5:$L$5,ROW()-136)</f>
        <v>0.48723060856356215</v>
      </c>
    </row>
    <row r="142" spans="1:4" outlineLevel="1" x14ac:dyDescent="0.3">
      <c r="A142" t="str" cm="1">
        <f t="array" ref="A142">INDEX('Ratio analysis'!$C$2:$L$2,ROW()-136)</f>
        <v>FY22</v>
      </c>
      <c r="B142" s="23" cm="1">
        <f t="array" ref="B142">INDEX('Ratio analysis'!$C$4:$L$4,ROW()-136)</f>
        <v>0.69596118027644349</v>
      </c>
      <c r="C142" s="23" cm="1">
        <f t="array" ref="C142">INDEX('Ratio analysis'!$C$5:$L$5,ROW()-136)</f>
        <v>0.49519654935790608</v>
      </c>
    </row>
    <row r="143" spans="1:4" outlineLevel="1" x14ac:dyDescent="0.3">
      <c r="A143" t="str" cm="1">
        <f t="array" ref="A143">INDEX('Ratio analysis'!$C$2:$L$2,ROW()-136)</f>
        <v>FY23</v>
      </c>
      <c r="B143" s="23" cm="1">
        <f t="array" ref="B143">INDEX('Ratio analysis'!$C$4:$L$4,ROW()-136)</f>
        <v>0.76018372459868233</v>
      </c>
      <c r="C143" s="23" cm="1">
        <f t="array" ref="C143">INDEX('Ratio analysis'!$C$5:$L$5,ROW()-136)</f>
        <v>0.56295815161918905</v>
      </c>
    </row>
    <row r="144" spans="1:4" outlineLevel="1" x14ac:dyDescent="0.3">
      <c r="A144" t="str" cm="1">
        <f t="array" ref="A144">INDEX('Ratio analysis'!$C$2:$L$2,ROW()-136)</f>
        <v>FY24</v>
      </c>
      <c r="B144" s="23" cm="1">
        <f t="array" ref="B144">INDEX('Ratio analysis'!$C$4:$L$4,ROW()-136)</f>
        <v>0.7404893938806375</v>
      </c>
      <c r="C144" s="23" cm="1">
        <f t="array" ref="C144">INDEX('Ratio analysis'!$C$5:$L$5,ROW()-136)</f>
        <v>0.58451933144607748</v>
      </c>
    </row>
    <row r="145" spans="1:3" outlineLevel="1" x14ac:dyDescent="0.3">
      <c r="A145" t="str" cm="1">
        <f t="array" ref="A145">INDEX('Ratio analysis'!$C$2:$L$2,ROW()-136)</f>
        <v>FY25</v>
      </c>
      <c r="B145" s="23" cm="1">
        <f t="array" ref="B145">INDEX('Ratio analysis'!$C$4:$L$4,ROW()-136)</f>
        <v>0.71873806962135145</v>
      </c>
      <c r="C145" s="23" cm="1">
        <f t="array" ref="C145">INDEX('Ratio analysis'!$C$5:$L$5,ROW()-136)</f>
        <v>0.56550862457918305</v>
      </c>
    </row>
    <row r="146" spans="1:3" outlineLevel="1" x14ac:dyDescent="0.3">
      <c r="A146" t="str" cm="1">
        <f t="array" ref="A146">INDEX('Ratio analysis'!$C$2:$L$2,ROW()-136)</f>
        <v>FY26</v>
      </c>
      <c r="B146" s="23" cm="1">
        <f t="array" ref="B146">INDEX('Ratio analysis'!$C$4:$L$4,ROW()-136)</f>
        <v>0.57826631889163649</v>
      </c>
      <c r="C146" s="23" cm="1">
        <f t="array" ref="C146">INDEX('Ratio analysis'!$C$5:$L$5,ROW()-136)</f>
        <v>0.41604281697774464</v>
      </c>
    </row>
    <row r="147" spans="1:3" outlineLevel="1" x14ac:dyDescent="0.3"/>
    <row r="148" spans="1:3" outlineLevel="1" x14ac:dyDescent="0.3">
      <c r="A148" t="s">
        <v>620</v>
      </c>
      <c r="B148" t="s">
        <v>627</v>
      </c>
    </row>
    <row r="149" spans="1:3" outlineLevel="1" x14ac:dyDescent="0.3">
      <c r="A149" t="str" cm="1">
        <f t="array" ref="A149">INDEX('Ratio analysis'!$C$2:$L$2,ROW()-148)</f>
        <v>FY17</v>
      </c>
      <c r="B149" s="23" cm="1">
        <f t="array" ref="B149">INDEX('Ratio analysis'!$C$22:$L$22,ROW()-148)</f>
        <v>4.1073546856465006E-2</v>
      </c>
    </row>
    <row r="150" spans="1:3" outlineLevel="1" x14ac:dyDescent="0.3">
      <c r="A150" t="str" cm="1">
        <f t="array" ref="A150">INDEX('Ratio analysis'!$C$2:$L$2,ROW()-148)</f>
        <v>FY18</v>
      </c>
      <c r="B150" s="23" cm="1">
        <f t="array" ref="B150">INDEX('Ratio analysis'!$C$22:$L$22,ROW()-148)</f>
        <v>0</v>
      </c>
    </row>
    <row r="151" spans="1:3" outlineLevel="1" x14ac:dyDescent="0.3">
      <c r="A151" t="str" cm="1">
        <f t="array" ref="A151">INDEX('Ratio analysis'!$C$2:$L$2,ROW()-148)</f>
        <v>FY19</v>
      </c>
      <c r="B151" s="23" cm="1">
        <f t="array" ref="B151">INDEX('Ratio analysis'!$C$22:$L$22,ROW()-148)</f>
        <v>2.6142064959070503E-2</v>
      </c>
    </row>
    <row r="152" spans="1:3" outlineLevel="1" x14ac:dyDescent="0.3">
      <c r="A152" t="str" cm="1">
        <f t="array" ref="A152">INDEX('Ratio analysis'!$C$2:$L$2,ROW()-148)</f>
        <v>FY20</v>
      </c>
      <c r="B152" s="23" cm="1">
        <f t="array" ref="B152">INDEX('Ratio analysis'!$C$22:$L$22,ROW()-148)</f>
        <v>0</v>
      </c>
    </row>
    <row r="153" spans="1:3" outlineLevel="1" x14ac:dyDescent="0.3">
      <c r="A153" t="str" cm="1">
        <f t="array" ref="A153">INDEX('Ratio analysis'!$C$2:$L$2,ROW()-148)</f>
        <v>FY21</v>
      </c>
      <c r="B153" s="23" cm="1">
        <f t="array" ref="B153">INDEX('Ratio analysis'!$C$22:$L$22,ROW()-148)</f>
        <v>0</v>
      </c>
    </row>
    <row r="154" spans="1:3" outlineLevel="1" x14ac:dyDescent="0.3">
      <c r="A154" t="str" cm="1">
        <f t="array" ref="A154">INDEX('Ratio analysis'!$C$2:$L$2,ROW()-148)</f>
        <v>FY22</v>
      </c>
      <c r="B154" s="23" cm="1">
        <f t="array" ref="B154">INDEX('Ratio analysis'!$C$22:$L$22,ROW()-148)</f>
        <v>4.3128133560758772E-2</v>
      </c>
    </row>
    <row r="155" spans="1:3" outlineLevel="1" x14ac:dyDescent="0.3">
      <c r="A155" t="str" cm="1">
        <f t="array" ref="A155">INDEX('Ratio analysis'!$C$2:$L$2,ROW()-148)</f>
        <v>FY23</v>
      </c>
      <c r="B155" s="23" cm="1">
        <f t="array" ref="B155">INDEX('Ratio analysis'!$C$22:$L$22,ROW()-148)</f>
        <v>4.9071604689780106E-2</v>
      </c>
    </row>
    <row r="156" spans="1:3" outlineLevel="1" x14ac:dyDescent="0.3">
      <c r="A156" t="str" cm="1">
        <f t="array" ref="A156">INDEX('Ratio analysis'!$C$2:$L$2,ROW()-148)</f>
        <v>FY24</v>
      </c>
      <c r="B156" s="23" cm="1">
        <f t="array" ref="B156">INDEX('Ratio analysis'!$C$22:$L$22,ROW()-148)</f>
        <v>5.8470085301708004E-2</v>
      </c>
    </row>
    <row r="157" spans="1:3" outlineLevel="1" x14ac:dyDescent="0.3">
      <c r="A157" t="str" cm="1">
        <f t="array" ref="A157">INDEX('Ratio analysis'!$C$2:$L$2,ROW()-148)</f>
        <v>FY25</v>
      </c>
      <c r="B157" s="23" cm="1">
        <f t="array" ref="B157">INDEX('Ratio analysis'!$C$22:$L$22,ROW()-148)</f>
        <v>6.5513814351023658E-2</v>
      </c>
    </row>
    <row r="158" spans="1:3" outlineLevel="1" x14ac:dyDescent="0.3">
      <c r="A158" t="str" cm="1">
        <f t="array" ref="A158">INDEX('Ratio analysis'!$C$2:$L$2,ROW()-148)</f>
        <v>FY26</v>
      </c>
      <c r="B158" s="23" cm="1">
        <f t="array" ref="B158">INDEX('Ratio analysis'!$C$22:$L$22,ROW()-148)</f>
        <v>6.0239858978408618E-2</v>
      </c>
    </row>
    <row r="159" spans="1:3" outlineLevel="1" x14ac:dyDescent="0.3"/>
    <row r="160" spans="1:3" outlineLevel="1" x14ac:dyDescent="0.3">
      <c r="A160" t="s">
        <v>620</v>
      </c>
      <c r="B160" t="s">
        <v>618</v>
      </c>
      <c r="C160" t="s">
        <v>619</v>
      </c>
    </row>
    <row r="161" spans="1:4" outlineLevel="1" x14ac:dyDescent="0.3">
      <c r="A161" t="str" cm="1">
        <f t="array" ref="A161">INDEX('Ratio analysis'!$C$2:$L$2,ROW()-160)</f>
        <v>FY17</v>
      </c>
      <c r="B161" s="23" cm="1">
        <f t="array" ref="B161">INDEX('Ratio analysis'!$C$27:$L$27,ROW()-160)</f>
        <v>20.681051610220393</v>
      </c>
      <c r="C161" s="306" cm="1">
        <f t="array" ref="C161">INDEX('Ratio analysis'!$C$28:$L$28,ROW()-160)</f>
        <v>42.193695777479896</v>
      </c>
    </row>
    <row r="162" spans="1:4" outlineLevel="1" x14ac:dyDescent="0.3">
      <c r="A162" t="str" cm="1">
        <f t="array" ref="A162">INDEX('Ratio analysis'!$C$2:$L$2,ROW()-160)</f>
        <v>FY18</v>
      </c>
      <c r="B162" s="23" cm="1">
        <f t="array" ref="B162">INDEX('Ratio analysis'!$C$27:$L$27,ROW()-160)</f>
        <v>24.088704088704091</v>
      </c>
      <c r="C162" s="306" cm="1">
        <f t="array" ref="C162">INDEX('Ratio analysis'!$C$28:$L$28,ROW()-160)</f>
        <v>52.975452531645558</v>
      </c>
    </row>
    <row r="163" spans="1:4" outlineLevel="1" x14ac:dyDescent="0.3">
      <c r="A163" t="str" cm="1">
        <f t="array" ref="A163">INDEX('Ratio analysis'!$C$2:$L$2,ROW()-160)</f>
        <v>FY19</v>
      </c>
      <c r="B163" s="23" cm="1">
        <f t="array" ref="B163">INDEX('Ratio analysis'!$C$27:$L$27,ROW()-160)</f>
        <v>27.966923823162563</v>
      </c>
      <c r="C163" s="306" cm="1">
        <f t="array" ref="C163">INDEX('Ratio analysis'!$C$28:$L$28,ROW()-160)</f>
        <v>58.409355649157582</v>
      </c>
    </row>
    <row r="164" spans="1:4" outlineLevel="1" x14ac:dyDescent="0.3">
      <c r="A164" t="str" cm="1">
        <f t="array" ref="A164">INDEX('Ratio analysis'!$C$2:$L$2,ROW()-160)</f>
        <v>FY20</v>
      </c>
      <c r="B164" s="23" cm="1">
        <f t="array" ref="B164">INDEX('Ratio analysis'!$C$27:$L$27,ROW()-160)</f>
        <v>31.171470805617147</v>
      </c>
      <c r="C164" s="306" cm="1">
        <f t="array" ref="C164">INDEX('Ratio analysis'!$C$28:$L$28,ROW()-160)</f>
        <v>70.571902548903381</v>
      </c>
    </row>
    <row r="165" spans="1:4" outlineLevel="1" x14ac:dyDescent="0.3">
      <c r="A165" t="str" cm="1">
        <f t="array" ref="A165">INDEX('Ratio analysis'!$C$2:$L$2,ROW()-160)</f>
        <v>FY21</v>
      </c>
      <c r="B165" s="23" cm="1">
        <f t="array" ref="B165">INDEX('Ratio analysis'!$C$27:$L$27,ROW()-160)</f>
        <v>34.027068437180795</v>
      </c>
      <c r="C165" s="306" cm="1">
        <f t="array" ref="C165">INDEX('Ratio analysis'!$C$28:$L$28,ROW()-160)</f>
        <v>68.390258311444654</v>
      </c>
    </row>
    <row r="166" spans="1:4" outlineLevel="1" x14ac:dyDescent="0.3">
      <c r="A166" t="str" cm="1">
        <f t="array" ref="A166">INDEX('Ratio analysis'!$C$2:$L$2,ROW()-160)</f>
        <v>FY22</v>
      </c>
      <c r="B166" s="23" cm="1">
        <f t="array" ref="B166">INDEX('Ratio analysis'!$C$27:$L$27,ROW()-160)</f>
        <v>37.789410963568265</v>
      </c>
      <c r="C166" s="306" cm="1">
        <f t="array" ref="C166">INDEX('Ratio analysis'!$C$28:$L$28,ROW()-160)</f>
        <v>51.88490505687578</v>
      </c>
    </row>
    <row r="167" spans="1:4" outlineLevel="1" x14ac:dyDescent="0.3">
      <c r="A167" t="str" cm="1">
        <f t="array" ref="A167">INDEX('Ratio analysis'!$C$2:$L$2,ROW()-160)</f>
        <v>FY23</v>
      </c>
      <c r="B167" s="23" cm="1">
        <f t="array" ref="B167">INDEX('Ratio analysis'!$C$27:$L$27,ROW()-160)</f>
        <v>43.071161048689135</v>
      </c>
      <c r="C167" s="306" cm="1">
        <f t="array" ref="C167">INDEX('Ratio analysis'!$C$28:$L$28,ROW()-160)</f>
        <v>56.892824347826092</v>
      </c>
    </row>
    <row r="168" spans="1:4" outlineLevel="1" x14ac:dyDescent="0.3">
      <c r="A168" t="str" cm="1">
        <f t="array" ref="A168">INDEX('Ratio analysis'!$C$2:$L$2,ROW()-160)</f>
        <v>FY24</v>
      </c>
      <c r="B168" s="23" cm="1">
        <f t="array" ref="B168">INDEX('Ratio analysis'!$C$27:$L$27,ROW()-160)</f>
        <v>43.739359891045282</v>
      </c>
      <c r="C168" s="306" cm="1">
        <f t="array" ref="C168">INDEX('Ratio analysis'!$C$28:$L$28,ROW()-160)</f>
        <v>49.546678447017612</v>
      </c>
    </row>
    <row r="169" spans="1:4" outlineLevel="1" x14ac:dyDescent="0.3">
      <c r="A169" t="str" cm="1">
        <f t="array" ref="A169">INDEX('Ratio analysis'!$C$2:$L$2,ROW()-160)</f>
        <v>FY25</v>
      </c>
      <c r="B169" s="23" cm="1">
        <f t="array" ref="B169">INDEX('Ratio analysis'!$C$27:$L$27,ROW()-160)</f>
        <v>45.32260810350698</v>
      </c>
      <c r="C169" s="306" cm="1">
        <f t="array" ref="C169">INDEX('Ratio analysis'!$C$28:$L$28,ROW()-160)</f>
        <v>47.699814517795097</v>
      </c>
    </row>
    <row r="170" spans="1:4" outlineLevel="1" x14ac:dyDescent="0.3">
      <c r="A170" t="str" cm="1">
        <f t="array" ref="A170">INDEX('Ratio analysis'!$C$2:$L$2,ROW()-160)</f>
        <v>FY26</v>
      </c>
      <c r="B170" s="23" cm="1">
        <f t="array" ref="B170">INDEX('Ratio analysis'!$C$27:$L$27,ROW()-160)</f>
        <v>64.010895471569626</v>
      </c>
      <c r="C170" s="306" cm="1">
        <f t="array" ref="C170">INDEX('Ratio analysis'!$C$28:$L$28,ROW()-160)</f>
        <v>32.107034042553188</v>
      </c>
    </row>
    <row r="171" spans="1:4" outlineLevel="1" x14ac:dyDescent="0.3"/>
    <row r="172" spans="1:4" outlineLevel="1" x14ac:dyDescent="0.3">
      <c r="A172" t="s">
        <v>620</v>
      </c>
      <c r="B172" t="s">
        <v>628</v>
      </c>
      <c r="C172" t="s">
        <v>62</v>
      </c>
      <c r="D172" t="s">
        <v>63</v>
      </c>
    </row>
    <row r="173" spans="1:4" outlineLevel="1" x14ac:dyDescent="0.3">
      <c r="A173" t="str" cm="1">
        <f t="array" ref="A173">INDEX('Ratio analysis'!$C$2:$L$2,ROW()-172)</f>
        <v>FY17</v>
      </c>
      <c r="B173" s="305" cm="1">
        <f t="array" ref="B173">INDEX('Balance Sheet'!$B$4:$K$4,ROW()-172)+INDEX('Balance Sheet'!$B$5:$K$5,ROW()-172)</f>
        <v>6744</v>
      </c>
      <c r="C173" s="305" cm="1">
        <f t="array" ref="C173">INDEX('Balance Sheet'!$B$6:$K$6,ROW()-172)</f>
        <v>277</v>
      </c>
      <c r="D173" s="305" cm="1">
        <f t="array" ref="D173">INDEX('Balance Sheet'!$B$7:$K$7,ROW()-172)</f>
        <v>8685</v>
      </c>
    </row>
    <row r="174" spans="1:4" outlineLevel="1" x14ac:dyDescent="0.3">
      <c r="A174" t="str" cm="1">
        <f t="array" ref="A174">INDEX('Ratio analysis'!$C$2:$L$2,ROW()-172)</f>
        <v>FY18</v>
      </c>
      <c r="B174" s="305" cm="1">
        <f t="array" ref="B174">INDEX('Balance Sheet'!$B$4:$K$4,ROW()-172)+INDEX('Balance Sheet'!$B$5:$K$5,ROW()-172)</f>
        <v>7281</v>
      </c>
      <c r="C174" s="305" cm="1">
        <f t="array" ref="C174">INDEX('Balance Sheet'!$B$6:$K$6,ROW()-172)</f>
        <v>0</v>
      </c>
      <c r="D174" s="305" cm="1">
        <f t="array" ref="D174">INDEX('Balance Sheet'!$B$7:$K$7,ROW()-172)</f>
        <v>10581</v>
      </c>
    </row>
    <row r="175" spans="1:4" outlineLevel="1" x14ac:dyDescent="0.3">
      <c r="A175" t="str" cm="1">
        <f t="array" ref="A175">INDEX('Ratio analysis'!$C$2:$L$2,ROW()-172)</f>
        <v>FY19</v>
      </c>
      <c r="B175" s="305" cm="1">
        <f t="array" ref="B175">INDEX('Balance Sheet'!$B$4:$K$4,ROW()-172)+INDEX('Balance Sheet'!$B$5:$K$5,ROW()-172)</f>
        <v>7867</v>
      </c>
      <c r="C175" s="305" cm="1">
        <f t="array" ref="C175">INDEX('Balance Sheet'!$B$6:$K$6,ROW()-172)</f>
        <v>99</v>
      </c>
      <c r="D175" s="305" cm="1">
        <f t="array" ref="D175">INDEX('Balance Sheet'!$B$7:$K$7,ROW()-172)</f>
        <v>10663</v>
      </c>
    </row>
    <row r="176" spans="1:4" outlineLevel="1" x14ac:dyDescent="0.3">
      <c r="A176" t="str" cm="1">
        <f t="array" ref="A176">INDEX('Ratio analysis'!$C$2:$L$2,ROW()-172)</f>
        <v>FY20</v>
      </c>
      <c r="B176" s="305" cm="1">
        <f t="array" ref="B176">INDEX('Balance Sheet'!$B$4:$K$4,ROW()-172)+INDEX('Balance Sheet'!$B$5:$K$5,ROW()-172)</f>
        <v>8229</v>
      </c>
      <c r="C176" s="305" cm="1">
        <f t="array" ref="C176">INDEX('Balance Sheet'!$B$6:$K$6,ROW()-172)</f>
        <v>0</v>
      </c>
      <c r="D176" s="305" cm="1">
        <f t="array" ref="D176">INDEX('Balance Sheet'!$B$7:$K$7,ROW()-172)</f>
        <v>11924</v>
      </c>
    </row>
    <row r="177" spans="1:4" outlineLevel="1" x14ac:dyDescent="0.3">
      <c r="A177" t="str" cm="1">
        <f t="array" ref="A177">INDEX('Ratio analysis'!$C$2:$L$2,ROW()-172)</f>
        <v>FY21</v>
      </c>
      <c r="B177" s="305" cm="1">
        <f t="array" ref="B177">INDEX('Balance Sheet'!$B$4:$K$4,ROW()-172)+INDEX('Balance Sheet'!$B$5:$K$5,ROW()-172)</f>
        <v>47674</v>
      </c>
      <c r="C177" s="305" cm="1">
        <f t="array" ref="C177">INDEX('Balance Sheet'!$B$6:$K$6,ROW()-172)</f>
        <v>0</v>
      </c>
      <c r="D177" s="305" cm="1">
        <f t="array" ref="D177">INDEX('Balance Sheet'!$B$7:$K$7,ROW()-172)</f>
        <v>21066</v>
      </c>
    </row>
    <row r="178" spans="1:4" outlineLevel="1" x14ac:dyDescent="0.3">
      <c r="A178" t="str" cm="1">
        <f t="array" ref="A178">INDEX('Ratio analysis'!$C$2:$L$2,ROW()-172)</f>
        <v>FY22</v>
      </c>
      <c r="B178" s="305" cm="1">
        <f t="array" ref="B178">INDEX('Balance Sheet'!$B$4:$K$4,ROW()-172)+INDEX('Balance Sheet'!$B$5:$K$5,ROW()-172)</f>
        <v>49061</v>
      </c>
      <c r="C178" s="305" cm="1">
        <f t="array" ref="C178">INDEX('Balance Sheet'!$B$6:$K$6,ROW()-172)</f>
        <v>1043</v>
      </c>
      <c r="D178" s="305" cm="1">
        <f t="array" ref="D178">INDEX('Balance Sheet'!$B$7:$K$7,ROW()-172)</f>
        <v>20402</v>
      </c>
    </row>
    <row r="179" spans="1:4" outlineLevel="1" x14ac:dyDescent="0.3">
      <c r="A179" t="str" cm="1">
        <f t="array" ref="A179">INDEX('Ratio analysis'!$C$2:$L$2,ROW()-172)</f>
        <v>FY23</v>
      </c>
      <c r="B179" s="305" cm="1">
        <f t="array" ref="B179">INDEX('Balance Sheet'!$B$4:$K$4,ROW()-172)+INDEX('Balance Sheet'!$B$5:$K$5,ROW()-172)</f>
        <v>50304</v>
      </c>
      <c r="C179" s="305" cm="1">
        <f t="array" ref="C179">INDEX('Balance Sheet'!$B$6:$K$6,ROW()-172)</f>
        <v>1219</v>
      </c>
      <c r="D179" s="305" cm="1">
        <f t="array" ref="D179">INDEX('Balance Sheet'!$B$7:$K$7,ROW()-172)</f>
        <v>21554</v>
      </c>
    </row>
    <row r="180" spans="1:4" outlineLevel="1" x14ac:dyDescent="0.3">
      <c r="A180" t="str" cm="1">
        <f t="array" ref="A180">INDEX('Ratio analysis'!$C$2:$L$2,ROW()-172)</f>
        <v>FY24</v>
      </c>
      <c r="B180" s="305" cm="1">
        <f t="array" ref="B180">INDEX('Balance Sheet'!$B$4:$K$4,ROW()-172)+INDEX('Balance Sheet'!$B$5:$K$5,ROW()-172)</f>
        <v>51218</v>
      </c>
      <c r="C180" s="305" cm="1">
        <f t="array" ref="C180">INDEX('Balance Sheet'!$B$6:$K$6,ROW()-172)</f>
        <v>1484</v>
      </c>
      <c r="D180" s="305" cm="1">
        <f t="array" ref="D180">INDEX('Balance Sheet'!$B$7:$K$7,ROW()-172)</f>
        <v>25787</v>
      </c>
    </row>
    <row r="181" spans="1:4" outlineLevel="1" x14ac:dyDescent="0.3">
      <c r="A181" t="str" cm="1">
        <f t="array" ref="A181">INDEX('Ratio analysis'!$C$2:$L$2,ROW()-172)</f>
        <v>FY25</v>
      </c>
      <c r="B181" s="305" cm="1">
        <f t="array" ref="B181">INDEX('Balance Sheet'!$B$4:$K$4,ROW()-172)+INDEX('Balance Sheet'!$B$5:$K$5,ROW()-172)</f>
        <v>49402</v>
      </c>
      <c r="C181" s="305" cm="1">
        <f t="array" ref="C181">INDEX('Balance Sheet'!$B$6:$K$6,ROW()-172)</f>
        <v>1648</v>
      </c>
      <c r="D181" s="305" cm="1">
        <f t="array" ref="D181">INDEX('Balance Sheet'!$B$7:$K$7,ROW()-172)</f>
        <v>28813</v>
      </c>
    </row>
    <row r="182" spans="1:4" outlineLevel="1" x14ac:dyDescent="0.3">
      <c r="A182" t="str" cm="1">
        <f t="array" ref="A182">INDEX('Ratio analysis'!$C$2:$L$2,ROW()-172)</f>
        <v>FY26</v>
      </c>
      <c r="B182" s="305" cm="1">
        <f t="array" ref="B182">INDEX('Balance Sheet'!$B$4:$K$4,ROW()-172)+INDEX('Balance Sheet'!$B$5:$K$5,ROW()-172)</f>
        <v>48739</v>
      </c>
      <c r="C182" s="305" cm="1">
        <f t="array" ref="C182">INDEX('Balance Sheet'!$B$6:$K$6,ROW()-172)</f>
        <v>1478</v>
      </c>
      <c r="D182" s="305" cm="1">
        <f t="array" ref="D182">INDEX('Balance Sheet'!$B$7:$K$7,ROW()-172)</f>
        <v>29521</v>
      </c>
    </row>
    <row r="183" spans="1:4" outlineLevel="1" x14ac:dyDescent="0.3"/>
    <row r="184" spans="1:4" outlineLevel="1" x14ac:dyDescent="0.3">
      <c r="A184" t="s">
        <v>620</v>
      </c>
      <c r="B184" t="s">
        <v>615</v>
      </c>
      <c r="C184" t="s">
        <v>629</v>
      </c>
    </row>
    <row r="185" spans="1:4" outlineLevel="1" x14ac:dyDescent="0.3">
      <c r="A185" t="str" cm="1">
        <f t="array" ref="A185">INDEX('DCF Valuation'!$C$38:$G$38,ROW()-184)</f>
        <v>FY2027E</v>
      </c>
      <c r="B185" s="305" cm="1">
        <f t="array" ref="B185">INDEX('DCF Valuation'!$C$39:$G$39,ROW()-184)</f>
        <v>69625.440000000002</v>
      </c>
      <c r="C185" s="305" cm="1">
        <f t="array" ref="C185">INDEX('DCF Valuation'!$C$59:$G$59,ROW()-184)</f>
        <v>11680.839376</v>
      </c>
    </row>
    <row r="186" spans="1:4" outlineLevel="1" x14ac:dyDescent="0.3">
      <c r="A186" t="str" cm="1">
        <f t="array" ref="A186">INDEX('DCF Valuation'!$C$38:$G$38,ROW()-184)</f>
        <v>FY2028E</v>
      </c>
      <c r="B186" s="305" cm="1">
        <f t="array" ref="B186">INDEX('DCF Valuation'!$C$39:$G$39,ROW()-184)</f>
        <v>74499.22080000001</v>
      </c>
      <c r="C186" s="305" cm="1">
        <f t="array" ref="C186">INDEX('DCF Valuation'!$C$59:$G$59,ROW()-184)</f>
        <v>12543.23189232</v>
      </c>
    </row>
    <row r="187" spans="1:4" outlineLevel="1" x14ac:dyDescent="0.3">
      <c r="A187" t="str" cm="1">
        <f t="array" ref="A187">INDEX('DCF Valuation'!$C$38:$G$38,ROW()-184)</f>
        <v>FY2029E</v>
      </c>
      <c r="B187" s="305" cm="1">
        <f t="array" ref="B187">INDEX('DCF Valuation'!$C$39:$G$39,ROW()-184)</f>
        <v>79714.166256000011</v>
      </c>
      <c r="C187" s="305" cm="1">
        <f t="array" ref="C187">INDEX('DCF Valuation'!$C$59:$G$59,ROW()-184)</f>
        <v>13421.258124782398</v>
      </c>
    </row>
    <row r="188" spans="1:4" outlineLevel="1" x14ac:dyDescent="0.3">
      <c r="A188" t="str" cm="1">
        <f t="array" ref="A188">INDEX('DCF Valuation'!$C$38:$G$38,ROW()-184)</f>
        <v>FY2030E</v>
      </c>
      <c r="B188" s="305" cm="1">
        <f t="array" ref="B188">INDEX('DCF Valuation'!$C$39:$G$39,ROW()-184)</f>
        <v>84497.016231360016</v>
      </c>
      <c r="C188" s="305" cm="1">
        <f t="array" ref="C188">INDEX('DCF Valuation'!$C$59:$G$59,ROW()-184)</f>
        <v>14266.763191501346</v>
      </c>
    </row>
    <row r="189" spans="1:4" outlineLevel="1" x14ac:dyDescent="0.3">
      <c r="A189" t="str" cm="1">
        <f t="array" ref="A189">INDEX('DCF Valuation'!$C$38:$G$38,ROW()-184)</f>
        <v>FY2031E</v>
      </c>
      <c r="B189" s="305" cm="1">
        <f t="array" ref="B189">INDEX('DCF Valuation'!$C$39:$G$39,ROW()-184)</f>
        <v>89566.837205241623</v>
      </c>
      <c r="C189" s="305" cm="1">
        <f t="array" ref="C189">INDEX('DCF Valuation'!$C$59:$G$59,ROW()-184)</f>
        <v>15122.768982991429</v>
      </c>
    </row>
    <row r="190" spans="1:4" outlineLevel="1" x14ac:dyDescent="0.3"/>
    <row r="191" spans="1:4" outlineLevel="1" x14ac:dyDescent="0.3">
      <c r="A191" t="s">
        <v>117</v>
      </c>
      <c r="B191" t="s">
        <v>630</v>
      </c>
    </row>
    <row r="192" spans="1:4" outlineLevel="1" x14ac:dyDescent="0.3">
      <c r="A192" t="str" cm="1">
        <f t="array" ref="A192">INDEX('Relative Valuation'!$B$7:$B$11,ROW()-191)</f>
        <v>Hind. Unilever</v>
      </c>
      <c r="B192" s="307" cm="1">
        <f t="array" ref="B192">INDEX('Relative Valuation'!$H$7:$H$11,ROW()-191)/INDEX('Relative Valuation'!$L$7:$L$11,ROW()-191)</f>
        <v>31.14844635845472</v>
      </c>
    </row>
    <row r="193" spans="1:2" outlineLevel="1" x14ac:dyDescent="0.3">
      <c r="A193" t="str" cm="1">
        <f t="array" ref="A193">INDEX('Relative Valuation'!$B$7:$B$11,ROW()-191)</f>
        <v>ITC</v>
      </c>
      <c r="B193" s="307" cm="1">
        <f t="array" ref="B193">INDEX('Relative Valuation'!$H$7:$H$11,ROW()-191)/INDEX('Relative Valuation'!$L$7:$L$11,ROW()-191)</f>
        <v>11.671166629855907</v>
      </c>
    </row>
    <row r="194" spans="1:2" outlineLevel="1" x14ac:dyDescent="0.3">
      <c r="A194" t="str" cm="1">
        <f t="array" ref="A194">INDEX('Relative Valuation'!$B$7:$B$11,ROW()-191)</f>
        <v>Nestle India</v>
      </c>
      <c r="B194" s="307" cm="1">
        <f t="array" ref="B194">INDEX('Relative Valuation'!$H$7:$H$11,ROW()-191)/INDEX('Relative Valuation'!$L$7:$L$11,ROW()-191)</f>
        <v>54.319850928979747</v>
      </c>
    </row>
    <row r="195" spans="1:2" outlineLevel="1" x14ac:dyDescent="0.3">
      <c r="A195" t="str" cm="1">
        <f t="array" ref="A195">INDEX('Relative Valuation'!$B$7:$B$11,ROW()-191)</f>
        <v>Godrej Consumer</v>
      </c>
      <c r="B195" s="307" cm="1">
        <f t="array" ref="B195">INDEX('Relative Valuation'!$H$7:$H$11,ROW()-191)/INDEX('Relative Valuation'!$L$7:$L$11,ROW()-191)</f>
        <v>33.526312789962518</v>
      </c>
    </row>
    <row r="196" spans="1:2" outlineLevel="1" x14ac:dyDescent="0.3">
      <c r="A196" t="str" cm="1">
        <f t="array" ref="A196">INDEX('Relative Valuation'!$B$7:$B$11,ROW()-191)</f>
        <v>Marico</v>
      </c>
      <c r="B196" s="307" cm="1">
        <f t="array" ref="B196">INDEX('Relative Valuation'!$H$7:$H$11,ROW()-191)/INDEX('Relative Valuation'!$L$7:$L$11,ROW()-191)</f>
        <v>44.813469096671945</v>
      </c>
    </row>
  </sheetData>
  <mergeCells count="21">
    <mergeCell ref="A11:Q11"/>
    <mergeCell ref="A98:Q98"/>
    <mergeCell ref="B5:D5"/>
    <mergeCell ref="F5:H5"/>
    <mergeCell ref="J5:L5"/>
    <mergeCell ref="N5:P5"/>
    <mergeCell ref="B8:D8"/>
    <mergeCell ref="B6:D6"/>
    <mergeCell ref="F6:H6"/>
    <mergeCell ref="J6:L6"/>
    <mergeCell ref="N6:P6"/>
    <mergeCell ref="A1:Q1"/>
    <mergeCell ref="A2:Q2"/>
    <mergeCell ref="A4:Q4"/>
    <mergeCell ref="B9:D9"/>
    <mergeCell ref="F9:H9"/>
    <mergeCell ref="J9:L9"/>
    <mergeCell ref="N9:P9"/>
    <mergeCell ref="F8:H8"/>
    <mergeCell ref="J8:L8"/>
    <mergeCell ref="N8:P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F0B71-FAD5-476B-AFDD-BA219CE232CE}">
  <sheetPr>
    <tabColor rgb="FF1B2A63"/>
  </sheetPr>
  <dimension ref="A1:E45"/>
  <sheetViews>
    <sheetView showGridLines="0" topLeftCell="A2" workbookViewId="0">
      <selection activeCell="C35" sqref="C35"/>
    </sheetView>
  </sheetViews>
  <sheetFormatPr defaultRowHeight="14.4" x14ac:dyDescent="0.3"/>
  <cols>
    <col min="1" max="1" width="2.88671875" customWidth="1"/>
    <col min="2" max="2" width="51.44140625" customWidth="1"/>
    <col min="3" max="4" width="18.109375" customWidth="1"/>
    <col min="5" max="5" width="106.6640625" customWidth="1"/>
  </cols>
  <sheetData>
    <row r="1" spans="1:5" x14ac:dyDescent="0.3">
      <c r="A1" s="127"/>
      <c r="B1" s="127"/>
      <c r="C1" s="127"/>
      <c r="D1" s="127"/>
      <c r="E1" s="127"/>
    </row>
    <row r="2" spans="1:5" ht="17.399999999999999" thickBot="1" x14ac:dyDescent="0.35">
      <c r="A2" s="127"/>
      <c r="B2" s="285" t="s">
        <v>369</v>
      </c>
      <c r="C2" s="264"/>
      <c r="D2" s="264"/>
      <c r="E2" s="264"/>
    </row>
    <row r="3" spans="1:5" x14ac:dyDescent="0.3">
      <c r="A3" s="127"/>
      <c r="B3" s="266" t="s">
        <v>431</v>
      </c>
      <c r="C3" s="267"/>
      <c r="D3" s="267"/>
      <c r="E3" s="267"/>
    </row>
    <row r="4" spans="1:5" x14ac:dyDescent="0.3">
      <c r="A4" s="127"/>
      <c r="B4" s="127"/>
      <c r="C4" s="127"/>
      <c r="D4" s="127"/>
      <c r="E4" s="127"/>
    </row>
    <row r="5" spans="1:5" x14ac:dyDescent="0.3">
      <c r="A5" s="127"/>
      <c r="B5" s="286" t="s">
        <v>432</v>
      </c>
      <c r="C5" s="286"/>
      <c r="D5" s="286"/>
      <c r="E5" s="286"/>
    </row>
    <row r="6" spans="1:5" x14ac:dyDescent="0.3">
      <c r="A6" s="127"/>
      <c r="B6" s="133" t="s">
        <v>433</v>
      </c>
      <c r="C6" s="145" t="s">
        <v>434</v>
      </c>
      <c r="D6" s="145" t="s">
        <v>435</v>
      </c>
      <c r="E6" s="133" t="s">
        <v>436</v>
      </c>
    </row>
    <row r="7" spans="1:5" x14ac:dyDescent="0.3">
      <c r="A7" s="127"/>
      <c r="B7" s="127" t="s">
        <v>437</v>
      </c>
      <c r="C7" s="146">
        <f>'Beneish M-Score'!K5</f>
        <v>61328</v>
      </c>
      <c r="D7" s="146">
        <f>'Beneish M-Score'!L5</f>
        <v>64468</v>
      </c>
      <c r="E7" s="139" t="str">
        <f>"Revenue grew by "&amp;TEXT(D7/C7-1,"0.0%")&amp;" in FY2026 after a flat FY2025, indicating a recovery in volume led growth."</f>
        <v>Revenue grew by 5.1% in FY2026 after a flat FY2025, indicating a recovery in volume led growth.</v>
      </c>
    </row>
    <row r="8" spans="1:5" ht="22.8" x14ac:dyDescent="0.3">
      <c r="A8" s="127"/>
      <c r="B8" s="127" t="s">
        <v>438</v>
      </c>
      <c r="C8" s="146">
        <f>'Beneish M-Score'!K16</f>
        <v>10649</v>
      </c>
      <c r="D8" s="146">
        <f>'Beneish M-Score'!L16</f>
        <v>15040</v>
      </c>
      <c r="E8" s="139" t="s">
        <v>439</v>
      </c>
    </row>
    <row r="9" spans="1:5" x14ac:dyDescent="0.3">
      <c r="A9" s="127"/>
      <c r="B9" s="127" t="s">
        <v>440</v>
      </c>
      <c r="C9" s="147">
        <f>'Ratio analysis'!K9</f>
        <v>0.24132533263762065</v>
      </c>
      <c r="D9" s="147">
        <f>'Ratio analysis'!L9</f>
        <v>0.28896506794068377</v>
      </c>
      <c r="E9" s="139" t="s">
        <v>441</v>
      </c>
    </row>
    <row r="10" spans="1:5" x14ac:dyDescent="0.3">
      <c r="A10" s="127"/>
      <c r="B10" s="127" t="s">
        <v>442</v>
      </c>
      <c r="C10" s="147">
        <f>'Ratio analysis'!K10</f>
        <v>0.17364009913905556</v>
      </c>
      <c r="D10" s="147">
        <f>'Ratio analysis'!L10</f>
        <v>0.23329403735186449</v>
      </c>
      <c r="E10" s="139" t="s">
        <v>443</v>
      </c>
    </row>
    <row r="11" spans="1:5" ht="22.8" x14ac:dyDescent="0.3">
      <c r="A11" s="127"/>
      <c r="B11" s="127" t="s">
        <v>444</v>
      </c>
      <c r="C11" s="147">
        <f>'Ratio analysis'!K12</f>
        <v>0.21166766050486982</v>
      </c>
      <c r="D11" s="147">
        <f>'Ratio analysis'!L12</f>
        <v>0.30649779399027927</v>
      </c>
      <c r="E11" s="139" t="s">
        <v>445</v>
      </c>
    </row>
    <row r="12" spans="1:5" x14ac:dyDescent="0.3">
      <c r="A12" s="127"/>
      <c r="B12" s="127" t="s">
        <v>446</v>
      </c>
      <c r="C12" s="147">
        <f>'Ratio analysis'!K13</f>
        <v>0.29417610812959649</v>
      </c>
      <c r="D12" s="147">
        <f>'Ratio analysis'!L13</f>
        <v>0.3796374603886245</v>
      </c>
      <c r="E12" s="139" t="s">
        <v>654</v>
      </c>
    </row>
    <row r="13" spans="1:5" x14ac:dyDescent="0.3">
      <c r="A13" s="127"/>
      <c r="B13" s="127"/>
      <c r="C13" s="148"/>
      <c r="D13" s="148"/>
      <c r="E13" s="139"/>
    </row>
    <row r="14" spans="1:5" x14ac:dyDescent="0.3">
      <c r="A14" s="127"/>
      <c r="B14" s="286" t="s">
        <v>447</v>
      </c>
      <c r="C14" s="287"/>
      <c r="D14" s="287"/>
      <c r="E14" s="288"/>
    </row>
    <row r="15" spans="1:5" x14ac:dyDescent="0.3">
      <c r="A15" s="127"/>
      <c r="B15" s="133" t="s">
        <v>433</v>
      </c>
      <c r="C15" s="145" t="s">
        <v>434</v>
      </c>
      <c r="D15" s="145" t="s">
        <v>435</v>
      </c>
      <c r="E15" s="140" t="s">
        <v>436</v>
      </c>
    </row>
    <row r="16" spans="1:5" ht="22.8" x14ac:dyDescent="0.3">
      <c r="A16" s="127"/>
      <c r="B16" s="127" t="s">
        <v>448</v>
      </c>
      <c r="C16" s="149">
        <f>'Ratio analysis'!K4</f>
        <v>0.71873806962135145</v>
      </c>
      <c r="D16" s="149">
        <f>'Ratio analysis'!L4</f>
        <v>0.57826631889163649</v>
      </c>
      <c r="E16" s="139" t="s">
        <v>449</v>
      </c>
    </row>
    <row r="17" spans="1:5" x14ac:dyDescent="0.3">
      <c r="A17" s="127"/>
      <c r="B17" s="127" t="s">
        <v>450</v>
      </c>
      <c r="C17" s="149">
        <f>'Ratio analysis'!K5</f>
        <v>0.56550862457918305</v>
      </c>
      <c r="D17" s="149">
        <f>'Ratio analysis'!L5</f>
        <v>0.41604281697774464</v>
      </c>
      <c r="E17" s="139" t="s">
        <v>451</v>
      </c>
    </row>
    <row r="18" spans="1:5" x14ac:dyDescent="0.3">
      <c r="A18" s="127"/>
      <c r="B18" s="127" t="s">
        <v>452</v>
      </c>
      <c r="C18" s="149">
        <f>'Ratio analysis'!K16</f>
        <v>7.3052032713049666</v>
      </c>
      <c r="D18" s="149">
        <f>'Ratio analysis'!L16</f>
        <v>7.2396784006953503</v>
      </c>
      <c r="E18" s="139" t="s">
        <v>453</v>
      </c>
    </row>
    <row r="19" spans="1:5" ht="22.8" x14ac:dyDescent="0.3">
      <c r="A19" s="127"/>
      <c r="B19" s="127" t="s">
        <v>454</v>
      </c>
      <c r="C19" s="149">
        <f>'Ratio analysis'!K17</f>
        <v>17.995305164319248</v>
      </c>
      <c r="D19" s="149">
        <f>'Ratio analysis'!L17</f>
        <v>17.912753542650737</v>
      </c>
      <c r="E19" s="139" t="s">
        <v>455</v>
      </c>
    </row>
    <row r="20" spans="1:5" x14ac:dyDescent="0.3">
      <c r="A20" s="127"/>
      <c r="B20" s="127" t="s">
        <v>456</v>
      </c>
      <c r="C20" s="149">
        <f>'Ratio analysis'!K22</f>
        <v>6.5513814351023658E-2</v>
      </c>
      <c r="D20" s="149">
        <f>'Ratio analysis'!L22</f>
        <v>6.0239858978408618E-2</v>
      </c>
      <c r="E20" s="139" t="s">
        <v>457</v>
      </c>
    </row>
    <row r="21" spans="1:5" x14ac:dyDescent="0.3">
      <c r="A21" s="127"/>
      <c r="B21" s="127" t="s">
        <v>458</v>
      </c>
      <c r="C21" s="150">
        <f>'Ratio analysis'!K23</f>
        <v>38.84514435695538</v>
      </c>
      <c r="D21" s="150">
        <f>'Ratio analysis'!L23</f>
        <v>45.436585365853659</v>
      </c>
      <c r="E21" s="139" t="s">
        <v>459</v>
      </c>
    </row>
    <row r="22" spans="1:5" ht="22.8" x14ac:dyDescent="0.3">
      <c r="A22" s="127"/>
      <c r="B22" s="127" t="s">
        <v>460</v>
      </c>
      <c r="C22" s="147">
        <f>'Ratio analysis'!K29</f>
        <v>1.1695933890506152</v>
      </c>
      <c r="D22" s="147">
        <f>'Ratio analysis'!L29</f>
        <v>0.640625</v>
      </c>
      <c r="E22" s="139" t="s">
        <v>461</v>
      </c>
    </row>
    <row r="23" spans="1:5" x14ac:dyDescent="0.3">
      <c r="A23" s="127"/>
      <c r="B23" s="127"/>
      <c r="C23" s="127"/>
      <c r="D23" s="127"/>
      <c r="E23" s="139"/>
    </row>
    <row r="24" spans="1:5" x14ac:dyDescent="0.3">
      <c r="A24" s="127"/>
      <c r="B24" s="286" t="s">
        <v>462</v>
      </c>
      <c r="C24" s="286"/>
      <c r="D24" s="286"/>
      <c r="E24" s="141"/>
    </row>
    <row r="25" spans="1:5" x14ac:dyDescent="0.3">
      <c r="A25" s="127"/>
      <c r="B25" s="133" t="s">
        <v>463</v>
      </c>
      <c r="C25" s="145" t="s">
        <v>464</v>
      </c>
      <c r="D25" s="145"/>
      <c r="E25" s="140" t="s">
        <v>465</v>
      </c>
    </row>
    <row r="26" spans="1:5" ht="22.8" x14ac:dyDescent="0.3">
      <c r="A26" s="127"/>
      <c r="B26" s="127" t="s">
        <v>466</v>
      </c>
      <c r="C26" s="149">
        <f>'Beneish M-Score'!K32</f>
        <v>-2.3354643617219941</v>
      </c>
      <c r="D26" s="127"/>
      <c r="E26" s="139" t="str">
        <f>"The score is below the threshold of -1.78, which places the company in the low risk category. There is no statistical indication of earnings manipulation in FY2026."</f>
        <v>The score is below the threshold of -1.78, which places the company in the low risk category. There is no statistical indication of earnings manipulation in FY2026.</v>
      </c>
    </row>
    <row r="27" spans="1:5" ht="22.8" x14ac:dyDescent="0.3">
      <c r="A27" s="127"/>
      <c r="B27" s="127" t="s">
        <v>467</v>
      </c>
      <c r="C27" s="149">
        <f>'Beneish M-Score'!F32</f>
        <v>-1.238142939228329</v>
      </c>
      <c r="D27" s="127"/>
      <c r="E27" s="139" t="s">
        <v>468</v>
      </c>
    </row>
    <row r="28" spans="1:5" ht="45.6" x14ac:dyDescent="0.3">
      <c r="A28" s="127"/>
      <c r="B28" s="127" t="s">
        <v>469</v>
      </c>
      <c r="C28" s="149">
        <f>'Altman Z Score'!I35</f>
        <v>6.0734393428395226</v>
      </c>
      <c r="D28" s="127"/>
      <c r="E28" s="139" t="s">
        <v>660</v>
      </c>
    </row>
    <row r="29" spans="1:5" x14ac:dyDescent="0.3">
      <c r="A29" s="127"/>
      <c r="B29" s="127"/>
      <c r="C29" s="148"/>
      <c r="D29" s="127"/>
      <c r="E29" s="139"/>
    </row>
    <row r="30" spans="1:5" x14ac:dyDescent="0.3">
      <c r="A30" s="127"/>
      <c r="B30" s="286" t="s">
        <v>470</v>
      </c>
      <c r="C30" s="287"/>
      <c r="D30" s="286"/>
      <c r="E30" s="141"/>
    </row>
    <row r="31" spans="1:5" x14ac:dyDescent="0.3">
      <c r="A31" s="127"/>
      <c r="B31" s="133" t="s">
        <v>471</v>
      </c>
      <c r="C31" s="145" t="s">
        <v>523</v>
      </c>
      <c r="D31" s="145"/>
      <c r="E31" s="140" t="s">
        <v>473</v>
      </c>
    </row>
    <row r="32" spans="1:5" ht="22.8" x14ac:dyDescent="0.3">
      <c r="A32" s="127"/>
      <c r="B32" s="127" t="s">
        <v>474</v>
      </c>
      <c r="C32" s="146">
        <f>'DCF Valuation'!C74</f>
        <v>1384.4125075129027</v>
      </c>
      <c r="D32" s="127"/>
      <c r="E32" s="139" t="s">
        <v>655</v>
      </c>
    </row>
    <row r="33" spans="1:5" x14ac:dyDescent="0.3">
      <c r="A33" s="127"/>
      <c r="B33" s="127" t="s">
        <v>475</v>
      </c>
      <c r="C33" s="146">
        <f>'Relative Valuation'!U26</f>
        <v>2639.8645641597673</v>
      </c>
      <c r="D33" s="127"/>
      <c r="E33" s="139" t="s">
        <v>656</v>
      </c>
    </row>
    <row r="34" spans="1:5" x14ac:dyDescent="0.3">
      <c r="A34" s="127"/>
      <c r="B34" s="127" t="s">
        <v>476</v>
      </c>
      <c r="C34" s="146">
        <f>'Relative Valuation'!Y26</f>
        <v>2810.7729989465133</v>
      </c>
      <c r="D34" s="127"/>
      <c r="E34" s="139" t="s">
        <v>477</v>
      </c>
    </row>
    <row r="35" spans="1:5" x14ac:dyDescent="0.3">
      <c r="A35" s="127"/>
      <c r="B35" s="127" t="s">
        <v>478</v>
      </c>
      <c r="C35" s="146">
        <f>'DCF Valuation'!C75</f>
        <v>2108</v>
      </c>
      <c r="D35" s="127"/>
      <c r="E35" s="139" t="s">
        <v>479</v>
      </c>
    </row>
    <row r="36" spans="1:5" ht="22.8" x14ac:dyDescent="0.3">
      <c r="A36" s="127"/>
      <c r="B36" s="127" t="s">
        <v>480</v>
      </c>
      <c r="C36" s="147">
        <f>'DCF Valuation'!C76</f>
        <v>-0.34325782376048253</v>
      </c>
      <c r="D36" s="127"/>
      <c r="E36" s="139" t="s">
        <v>481</v>
      </c>
    </row>
    <row r="37" spans="1:5" x14ac:dyDescent="0.3">
      <c r="A37" s="127"/>
      <c r="B37" s="127"/>
      <c r="C37" s="127"/>
      <c r="D37" s="127"/>
      <c r="E37" s="127"/>
    </row>
    <row r="38" spans="1:5" x14ac:dyDescent="0.3">
      <c r="A38" s="127"/>
      <c r="B38" s="289" t="s">
        <v>482</v>
      </c>
      <c r="C38" s="289"/>
      <c r="D38" s="289"/>
      <c r="E38" s="289"/>
    </row>
    <row r="39" spans="1:5" ht="81.900000000000006" customHeight="1" x14ac:dyDescent="0.3">
      <c r="A39" s="127"/>
      <c r="B39" s="350" t="s">
        <v>657</v>
      </c>
      <c r="C39" s="350"/>
      <c r="D39" s="350"/>
      <c r="E39" s="350"/>
    </row>
    <row r="40" spans="1:5" x14ac:dyDescent="0.3">
      <c r="A40" s="127"/>
      <c r="B40" s="127"/>
      <c r="C40" s="127"/>
      <c r="D40" s="127"/>
      <c r="E40" s="127"/>
    </row>
    <row r="41" spans="1:5" x14ac:dyDescent="0.3">
      <c r="A41" s="127"/>
      <c r="B41" s="127"/>
      <c r="C41" s="127"/>
      <c r="D41" s="127"/>
      <c r="E41" s="127"/>
    </row>
    <row r="42" spans="1:5" x14ac:dyDescent="0.3">
      <c r="A42" s="127"/>
      <c r="B42" s="127"/>
      <c r="C42" s="127"/>
      <c r="D42" s="127"/>
      <c r="E42" s="127"/>
    </row>
    <row r="43" spans="1:5" x14ac:dyDescent="0.3">
      <c r="A43" s="127"/>
      <c r="B43" s="127"/>
      <c r="C43" s="127"/>
      <c r="D43" s="127"/>
      <c r="E43" s="127"/>
    </row>
    <row r="44" spans="1:5" x14ac:dyDescent="0.3">
      <c r="A44" s="127"/>
      <c r="B44" s="127"/>
      <c r="C44" s="127"/>
      <c r="D44" s="127"/>
      <c r="E44" s="127"/>
    </row>
    <row r="45" spans="1:5" x14ac:dyDescent="0.3">
      <c r="A45" s="127"/>
      <c r="B45" s="127"/>
      <c r="C45" s="127"/>
      <c r="D45" s="127"/>
      <c r="E45" s="127"/>
    </row>
  </sheetData>
  <mergeCells count="1">
    <mergeCell ref="B39:E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C547-E904-4CAF-B281-BD90CB480220}">
  <sheetPr>
    <tabColor rgb="FF1B2A63"/>
  </sheetPr>
  <dimension ref="A1:E45"/>
  <sheetViews>
    <sheetView showGridLines="0" workbookViewId="0">
      <selection activeCell="C8" sqref="C8"/>
    </sheetView>
  </sheetViews>
  <sheetFormatPr defaultRowHeight="14.4" x14ac:dyDescent="0.3"/>
  <cols>
    <col min="1" max="1" width="2.88671875" customWidth="1"/>
    <col min="2" max="2" width="49.5546875" customWidth="1"/>
    <col min="3" max="3" width="38.109375" customWidth="1"/>
    <col min="4" max="4" width="34.33203125" customWidth="1"/>
    <col min="5" max="5" width="28.5546875" customWidth="1"/>
  </cols>
  <sheetData>
    <row r="1" spans="1:5" x14ac:dyDescent="0.3">
      <c r="A1" s="127"/>
      <c r="B1" s="127"/>
      <c r="C1" s="127"/>
      <c r="D1" s="127"/>
      <c r="E1" s="127"/>
    </row>
    <row r="2" spans="1:5" ht="17.399999999999999" thickBot="1" x14ac:dyDescent="0.35">
      <c r="A2" s="127"/>
      <c r="B2" s="285" t="s">
        <v>371</v>
      </c>
      <c r="C2" s="264"/>
      <c r="D2" s="264"/>
      <c r="E2" s="264"/>
    </row>
    <row r="3" spans="1:5" x14ac:dyDescent="0.3">
      <c r="A3" s="127"/>
      <c r="B3" s="266" t="s">
        <v>483</v>
      </c>
      <c r="C3" s="267"/>
      <c r="D3" s="267"/>
      <c r="E3" s="267"/>
    </row>
    <row r="4" spans="1:5" x14ac:dyDescent="0.3">
      <c r="A4" s="127"/>
      <c r="B4" s="127"/>
      <c r="C4" s="127"/>
      <c r="D4" s="127"/>
      <c r="E4" s="127"/>
    </row>
    <row r="5" spans="1:5" x14ac:dyDescent="0.3">
      <c r="A5" s="127"/>
      <c r="B5" s="286" t="s">
        <v>484</v>
      </c>
      <c r="C5" s="286"/>
      <c r="D5" s="286"/>
      <c r="E5" s="286"/>
    </row>
    <row r="6" spans="1:5" x14ac:dyDescent="0.3">
      <c r="A6" s="127"/>
      <c r="B6" s="133" t="s">
        <v>471</v>
      </c>
      <c r="C6" s="145" t="s">
        <v>472</v>
      </c>
      <c r="D6" s="145" t="s">
        <v>485</v>
      </c>
      <c r="E6" s="145" t="s">
        <v>486</v>
      </c>
    </row>
    <row r="7" spans="1:5" x14ac:dyDescent="0.3">
      <c r="A7" s="127"/>
      <c r="B7" s="127" t="s">
        <v>487</v>
      </c>
      <c r="C7" s="146">
        <f>'Key Findings'!C32</f>
        <v>1384.4125075129027</v>
      </c>
      <c r="D7" s="147">
        <f>C7/$C$11-1</f>
        <v>-0.34325782376048253</v>
      </c>
      <c r="E7" s="148" t="str">
        <f>IF(D7&gt;0.1,"Undervalued",IF(D7&lt;-0.1,"Overvalued","Fairly valued"))</f>
        <v>Overvalued</v>
      </c>
    </row>
    <row r="8" spans="1:5" x14ac:dyDescent="0.3">
      <c r="A8" s="127"/>
      <c r="B8" s="127" t="s">
        <v>475</v>
      </c>
      <c r="C8" s="146">
        <f>'Key Findings'!C33</f>
        <v>2639.8645641597673</v>
      </c>
      <c r="D8" s="147">
        <f>C8/$C$11-1</f>
        <v>0.25230766800747984</v>
      </c>
      <c r="E8" s="148" t="str">
        <f>IF(D8&gt;0.1,"Undervalued",IF(D8&lt;-0.1,"Overvalued","Fairly valued"))</f>
        <v>Undervalued</v>
      </c>
    </row>
    <row r="9" spans="1:5" x14ac:dyDescent="0.3">
      <c r="A9" s="127"/>
      <c r="B9" s="127" t="s">
        <v>476</v>
      </c>
      <c r="C9" s="146">
        <f>'Key Findings'!C34</f>
        <v>2810.7729989465133</v>
      </c>
      <c r="D9" s="147">
        <f>C9/$C$11-1</f>
        <v>0.33338377559132515</v>
      </c>
      <c r="E9" s="148" t="str">
        <f>IF(D9&gt;0.1,"Undervalued",IF(D9&lt;-0.1,"Overvalued","Fairly valued"))</f>
        <v>Undervalued</v>
      </c>
    </row>
    <row r="10" spans="1:5" x14ac:dyDescent="0.3">
      <c r="A10" s="127"/>
      <c r="B10" s="151" t="s">
        <v>488</v>
      </c>
      <c r="C10" s="152">
        <f>AVERAGE(C7:C9)</f>
        <v>2278.3500235397278</v>
      </c>
      <c r="D10" s="153">
        <f>C10/$C$11-1</f>
        <v>8.0811206612774189E-2</v>
      </c>
      <c r="E10" s="154" t="str">
        <f>IF(D10&gt;0.1,"Undervalued",IF(D10&lt;-0.1,"Overvalued","Fairly valued"))</f>
        <v>Fairly valued</v>
      </c>
    </row>
    <row r="11" spans="1:5" x14ac:dyDescent="0.3">
      <c r="A11" s="127"/>
      <c r="B11" s="155" t="s">
        <v>478</v>
      </c>
      <c r="C11" s="156">
        <f>'DCF Valuation'!C75</f>
        <v>2108</v>
      </c>
      <c r="D11" s="157"/>
      <c r="E11" s="157"/>
    </row>
    <row r="12" spans="1:5" x14ac:dyDescent="0.3">
      <c r="A12" s="127"/>
      <c r="B12" s="127"/>
      <c r="C12" s="127"/>
      <c r="D12" s="127"/>
      <c r="E12" s="127"/>
    </row>
    <row r="13" spans="1:5" ht="15.6" x14ac:dyDescent="0.3">
      <c r="A13" s="127"/>
      <c r="B13" s="132" t="s">
        <v>489</v>
      </c>
      <c r="C13" s="158" t="s">
        <v>490</v>
      </c>
      <c r="D13" s="127"/>
      <c r="E13" s="127"/>
    </row>
    <row r="14" spans="1:5" ht="81.900000000000006" customHeight="1" x14ac:dyDescent="0.3">
      <c r="A14" s="127"/>
      <c r="B14" s="132" t="s">
        <v>491</v>
      </c>
      <c r="C14" s="351" t="s">
        <v>492</v>
      </c>
      <c r="D14" s="351"/>
      <c r="E14" s="351"/>
    </row>
    <row r="15" spans="1:5" x14ac:dyDescent="0.3">
      <c r="A15" s="127"/>
      <c r="B15" s="127"/>
      <c r="C15" s="127"/>
      <c r="D15" s="127"/>
      <c r="E15" s="127"/>
    </row>
    <row r="16" spans="1:5" x14ac:dyDescent="0.3">
      <c r="A16" s="127"/>
      <c r="B16" s="286" t="s">
        <v>493</v>
      </c>
      <c r="C16" s="286"/>
      <c r="D16" s="286"/>
      <c r="E16" s="286"/>
    </row>
    <row r="17" spans="1:5" x14ac:dyDescent="0.3">
      <c r="A17" s="127"/>
      <c r="B17" s="133" t="s">
        <v>494</v>
      </c>
      <c r="C17" s="133" t="s">
        <v>489</v>
      </c>
      <c r="D17" s="133"/>
      <c r="E17" s="133"/>
    </row>
    <row r="18" spans="1:5" ht="42.9" customHeight="1" x14ac:dyDescent="0.3">
      <c r="A18" s="127"/>
      <c r="B18" s="132" t="s">
        <v>495</v>
      </c>
      <c r="C18" s="350" t="s">
        <v>496</v>
      </c>
      <c r="D18" s="350"/>
      <c r="E18" s="350"/>
    </row>
    <row r="19" spans="1:5" ht="42.9" customHeight="1" x14ac:dyDescent="0.3">
      <c r="A19" s="127"/>
      <c r="B19" s="132" t="s">
        <v>497</v>
      </c>
      <c r="C19" s="351" t="s">
        <v>498</v>
      </c>
      <c r="D19" s="351"/>
      <c r="E19" s="351"/>
    </row>
    <row r="20" spans="1:5" ht="42.9" customHeight="1" x14ac:dyDescent="0.3">
      <c r="A20" s="127"/>
      <c r="B20" s="132" t="s">
        <v>499</v>
      </c>
      <c r="C20" s="351" t="s">
        <v>500</v>
      </c>
      <c r="D20" s="351"/>
      <c r="E20" s="351"/>
    </row>
    <row r="21" spans="1:5" ht="42.9" customHeight="1" x14ac:dyDescent="0.3">
      <c r="A21" s="127"/>
      <c r="B21" s="132" t="s">
        <v>501</v>
      </c>
      <c r="C21" s="351" t="s">
        <v>502</v>
      </c>
      <c r="D21" s="351"/>
      <c r="E21" s="351"/>
    </row>
    <row r="22" spans="1:5" ht="42.9" customHeight="1" x14ac:dyDescent="0.3">
      <c r="A22" s="127"/>
      <c r="B22" s="132" t="s">
        <v>503</v>
      </c>
      <c r="C22" s="351" t="s">
        <v>504</v>
      </c>
      <c r="D22" s="351"/>
      <c r="E22" s="351"/>
    </row>
    <row r="23" spans="1:5" x14ac:dyDescent="0.3">
      <c r="A23" s="127"/>
      <c r="B23" s="127"/>
      <c r="C23" s="127"/>
      <c r="D23" s="127"/>
      <c r="E23" s="127"/>
    </row>
    <row r="24" spans="1:5" x14ac:dyDescent="0.3">
      <c r="A24" s="127"/>
      <c r="B24" s="286" t="s">
        <v>505</v>
      </c>
      <c r="C24" s="286"/>
      <c r="D24" s="286"/>
      <c r="E24" s="286"/>
    </row>
    <row r="25" spans="1:5" x14ac:dyDescent="0.3">
      <c r="A25" s="127"/>
      <c r="B25" s="133" t="s">
        <v>506</v>
      </c>
      <c r="C25" s="133" t="s">
        <v>507</v>
      </c>
      <c r="D25" s="133"/>
      <c r="E25" s="133"/>
    </row>
    <row r="26" spans="1:5" ht="30" customHeight="1" x14ac:dyDescent="0.3">
      <c r="A26" s="127"/>
      <c r="B26" s="132" t="s">
        <v>508</v>
      </c>
      <c r="C26" s="350" t="s">
        <v>509</v>
      </c>
      <c r="D26" s="350"/>
      <c r="E26" s="350"/>
    </row>
    <row r="27" spans="1:5" ht="30" customHeight="1" x14ac:dyDescent="0.3">
      <c r="A27" s="127"/>
      <c r="B27" s="132" t="s">
        <v>510</v>
      </c>
      <c r="C27" s="351" t="s">
        <v>511</v>
      </c>
      <c r="D27" s="351"/>
      <c r="E27" s="351"/>
    </row>
    <row r="28" spans="1:5" ht="30" customHeight="1" x14ac:dyDescent="0.3">
      <c r="A28" s="127"/>
      <c r="B28" s="132" t="s">
        <v>512</v>
      </c>
      <c r="C28" s="351" t="s">
        <v>513</v>
      </c>
      <c r="D28" s="351"/>
      <c r="E28" s="351"/>
    </row>
    <row r="29" spans="1:5" ht="30" customHeight="1" x14ac:dyDescent="0.3">
      <c r="A29" s="127"/>
      <c r="B29" s="132" t="s">
        <v>514</v>
      </c>
      <c r="C29" s="351" t="s">
        <v>515</v>
      </c>
      <c r="D29" s="351"/>
      <c r="E29" s="351"/>
    </row>
    <row r="30" spans="1:5" ht="42.9" customHeight="1" x14ac:dyDescent="0.3">
      <c r="A30" s="127"/>
      <c r="B30" s="132" t="s">
        <v>516</v>
      </c>
      <c r="C30" s="351" t="s">
        <v>658</v>
      </c>
      <c r="D30" s="351"/>
      <c r="E30" s="351"/>
    </row>
    <row r="31" spans="1:5" x14ac:dyDescent="0.3">
      <c r="A31" s="127"/>
      <c r="B31" s="127"/>
      <c r="C31" s="127"/>
      <c r="D31" s="127"/>
      <c r="E31" s="127"/>
    </row>
    <row r="32" spans="1:5" x14ac:dyDescent="0.3">
      <c r="A32" s="127"/>
      <c r="B32" s="289" t="s">
        <v>517</v>
      </c>
      <c r="C32" s="289"/>
      <c r="D32" s="289"/>
      <c r="E32" s="289"/>
    </row>
    <row r="33" spans="1:5" ht="30" customHeight="1" x14ac:dyDescent="0.3">
      <c r="A33" s="127"/>
      <c r="B33" s="350" t="s">
        <v>518</v>
      </c>
      <c r="C33" s="350"/>
      <c r="D33" s="350"/>
      <c r="E33" s="350"/>
    </row>
    <row r="34" spans="1:5" ht="17.100000000000001" customHeight="1" x14ac:dyDescent="0.3">
      <c r="A34" s="127"/>
      <c r="B34" s="351" t="s">
        <v>519</v>
      </c>
      <c r="C34" s="351"/>
      <c r="D34" s="351"/>
      <c r="E34" s="351"/>
    </row>
    <row r="35" spans="1:5" ht="30" customHeight="1" x14ac:dyDescent="0.3">
      <c r="A35" s="127"/>
      <c r="B35" s="351" t="s">
        <v>520</v>
      </c>
      <c r="C35" s="351"/>
      <c r="D35" s="351"/>
      <c r="E35" s="351"/>
    </row>
    <row r="36" spans="1:5" ht="30" customHeight="1" x14ac:dyDescent="0.3">
      <c r="A36" s="127"/>
      <c r="B36" s="351" t="s">
        <v>521</v>
      </c>
      <c r="C36" s="351"/>
      <c r="D36" s="351"/>
      <c r="E36" s="351"/>
    </row>
    <row r="37" spans="1:5" ht="17.100000000000001" customHeight="1" x14ac:dyDescent="0.3">
      <c r="A37" s="127"/>
      <c r="B37" s="351" t="s">
        <v>522</v>
      </c>
      <c r="C37" s="351"/>
      <c r="D37" s="351"/>
      <c r="E37" s="351"/>
    </row>
    <row r="38" spans="1:5" x14ac:dyDescent="0.3">
      <c r="A38" s="127"/>
      <c r="B38" s="127"/>
      <c r="C38" s="127"/>
      <c r="D38" s="127"/>
      <c r="E38" s="127"/>
    </row>
    <row r="39" spans="1:5" x14ac:dyDescent="0.3">
      <c r="A39" s="127"/>
      <c r="B39" s="127"/>
      <c r="C39" s="127"/>
      <c r="D39" s="127"/>
      <c r="E39" s="127"/>
    </row>
    <row r="40" spans="1:5" x14ac:dyDescent="0.3">
      <c r="A40" s="127"/>
      <c r="B40" s="127"/>
      <c r="C40" s="127"/>
      <c r="D40" s="127"/>
      <c r="E40" s="127"/>
    </row>
    <row r="41" spans="1:5" x14ac:dyDescent="0.3">
      <c r="A41" s="127"/>
      <c r="B41" s="127"/>
      <c r="C41" s="127"/>
      <c r="D41" s="127"/>
      <c r="E41" s="127"/>
    </row>
    <row r="42" spans="1:5" x14ac:dyDescent="0.3">
      <c r="A42" s="127"/>
      <c r="B42" s="127"/>
      <c r="C42" s="127"/>
      <c r="D42" s="127"/>
      <c r="E42" s="127"/>
    </row>
    <row r="43" spans="1:5" x14ac:dyDescent="0.3">
      <c r="A43" s="127"/>
      <c r="B43" s="127"/>
      <c r="C43" s="127"/>
      <c r="D43" s="127"/>
      <c r="E43" s="127"/>
    </row>
    <row r="44" spans="1:5" x14ac:dyDescent="0.3">
      <c r="A44" s="127"/>
      <c r="B44" s="127"/>
      <c r="C44" s="127"/>
      <c r="D44" s="127"/>
      <c r="E44" s="127"/>
    </row>
    <row r="45" spans="1:5" x14ac:dyDescent="0.3">
      <c r="A45" s="127"/>
      <c r="B45" s="127"/>
      <c r="C45" s="127"/>
      <c r="D45" s="127"/>
      <c r="E45" s="127"/>
    </row>
  </sheetData>
  <mergeCells count="16">
    <mergeCell ref="B34:E34"/>
    <mergeCell ref="B35:E35"/>
    <mergeCell ref="B36:E36"/>
    <mergeCell ref="B37:E37"/>
    <mergeCell ref="C26:E26"/>
    <mergeCell ref="C27:E27"/>
    <mergeCell ref="C28:E28"/>
    <mergeCell ref="C29:E29"/>
    <mergeCell ref="C30:E30"/>
    <mergeCell ref="B33:E33"/>
    <mergeCell ref="C22:E22"/>
    <mergeCell ref="C14:E14"/>
    <mergeCell ref="C18:E18"/>
    <mergeCell ref="C19:E19"/>
    <mergeCell ref="C20:E20"/>
    <mergeCell ref="C21:E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0E1F-2771-4910-832F-6181AF2506DC}">
  <sheetPr>
    <tabColor rgb="FF1B2A63"/>
  </sheetPr>
  <dimension ref="A1:D50"/>
  <sheetViews>
    <sheetView showGridLines="0" topLeftCell="A3" workbookViewId="0">
      <selection activeCell="C30" sqref="C30:D30"/>
    </sheetView>
  </sheetViews>
  <sheetFormatPr defaultRowHeight="14.4" x14ac:dyDescent="0.3"/>
  <cols>
    <col min="1" max="1" width="2.88671875" customWidth="1"/>
    <col min="2" max="2" width="57.109375" customWidth="1"/>
    <col min="3" max="3" width="30.44140625" customWidth="1"/>
    <col min="4" max="4" width="91.44140625" customWidth="1"/>
  </cols>
  <sheetData>
    <row r="1" spans="1:4" x14ac:dyDescent="0.3">
      <c r="A1" s="127"/>
      <c r="B1" s="127"/>
      <c r="C1" s="127"/>
      <c r="D1" s="127"/>
    </row>
    <row r="2" spans="1:4" ht="17.399999999999999" thickBot="1" x14ac:dyDescent="0.35">
      <c r="A2" s="127"/>
      <c r="B2" s="128" t="s">
        <v>375</v>
      </c>
      <c r="C2" s="129"/>
      <c r="D2" s="129"/>
    </row>
    <row r="3" spans="1:4" ht="34.200000000000003" x14ac:dyDescent="0.3">
      <c r="A3" s="127"/>
      <c r="B3" s="139" t="s">
        <v>376</v>
      </c>
      <c r="C3" s="127"/>
      <c r="D3" s="127"/>
    </row>
    <row r="4" spans="1:4" x14ac:dyDescent="0.3">
      <c r="A4" s="127"/>
      <c r="B4" s="127"/>
      <c r="C4" s="127"/>
      <c r="D4" s="127"/>
    </row>
    <row r="5" spans="1:4" x14ac:dyDescent="0.3">
      <c r="A5" s="127"/>
      <c r="B5" s="131" t="s">
        <v>377</v>
      </c>
      <c r="C5" s="131"/>
      <c r="D5" s="131"/>
    </row>
    <row r="6" spans="1:4" x14ac:dyDescent="0.3">
      <c r="A6" s="127"/>
      <c r="B6" s="133" t="s">
        <v>378</v>
      </c>
      <c r="C6" s="133" t="s">
        <v>379</v>
      </c>
      <c r="D6" s="133" t="s">
        <v>380</v>
      </c>
    </row>
    <row r="7" spans="1:4" x14ac:dyDescent="0.3">
      <c r="A7" s="127"/>
      <c r="B7" s="127" t="s">
        <v>381</v>
      </c>
      <c r="C7" s="127" t="s">
        <v>382</v>
      </c>
      <c r="D7" s="139" t="s">
        <v>383</v>
      </c>
    </row>
    <row r="8" spans="1:4" x14ac:dyDescent="0.3">
      <c r="A8" s="127"/>
      <c r="B8" s="127" t="s">
        <v>384</v>
      </c>
      <c r="C8" s="134" t="str">
        <f>TEXT('DCF Valuation'!C7,"0.0%")&amp;" tapering to "&amp;TEXT('DCF Valuation'!G7,"0.0%")</f>
        <v>8.0% tapering to 6.0%</v>
      </c>
      <c r="D8" s="139" t="s">
        <v>311</v>
      </c>
    </row>
    <row r="9" spans="1:4" x14ac:dyDescent="0.3">
      <c r="A9" s="127"/>
      <c r="B9" s="127" t="s">
        <v>385</v>
      </c>
      <c r="C9" s="142">
        <f>'DCF Valuation'!C8</f>
        <v>0.23499999999999999</v>
      </c>
      <c r="D9" s="139" t="s">
        <v>312</v>
      </c>
    </row>
    <row r="10" spans="1:4" x14ac:dyDescent="0.3">
      <c r="A10" s="127"/>
      <c r="B10" s="127" t="s">
        <v>386</v>
      </c>
      <c r="C10" s="142">
        <f>'DCF Valuation'!C9</f>
        <v>0.26</v>
      </c>
      <c r="D10" s="139" t="s">
        <v>313</v>
      </c>
    </row>
    <row r="11" spans="1:4" x14ac:dyDescent="0.3">
      <c r="A11" s="127"/>
      <c r="B11" s="127" t="s">
        <v>387</v>
      </c>
      <c r="C11" s="142">
        <f>'DCF Valuation'!C10</f>
        <v>2.1000000000000001E-2</v>
      </c>
      <c r="D11" s="139" t="s">
        <v>314</v>
      </c>
    </row>
    <row r="12" spans="1:4" x14ac:dyDescent="0.3">
      <c r="A12" s="127"/>
      <c r="B12" s="127" t="s">
        <v>388</v>
      </c>
      <c r="C12" s="142">
        <f>'DCF Valuation'!C11</f>
        <v>2.3E-2</v>
      </c>
      <c r="D12" s="139" t="s">
        <v>389</v>
      </c>
    </row>
    <row r="13" spans="1:4" x14ac:dyDescent="0.3">
      <c r="A13" s="127"/>
      <c r="B13" s="127" t="s">
        <v>390</v>
      </c>
      <c r="C13" s="142">
        <f>'DCF Valuation'!C12</f>
        <v>5.3999999999999999E-2</v>
      </c>
      <c r="D13" s="139" t="s">
        <v>391</v>
      </c>
    </row>
    <row r="14" spans="1:4" x14ac:dyDescent="0.3">
      <c r="A14" s="127"/>
      <c r="B14" s="127" t="s">
        <v>392</v>
      </c>
      <c r="C14" s="142">
        <f>'DCF Valuation'!C13</f>
        <v>0.06</v>
      </c>
      <c r="D14" s="139" t="s">
        <v>317</v>
      </c>
    </row>
    <row r="15" spans="1:4" x14ac:dyDescent="0.3">
      <c r="A15" s="127"/>
      <c r="B15" s="127"/>
      <c r="C15" s="127"/>
      <c r="D15" s="139"/>
    </row>
    <row r="16" spans="1:4" x14ac:dyDescent="0.3">
      <c r="A16" s="127"/>
      <c r="B16" s="131" t="s">
        <v>393</v>
      </c>
      <c r="C16" s="131"/>
      <c r="D16" s="141"/>
    </row>
    <row r="17" spans="1:4" x14ac:dyDescent="0.3">
      <c r="A17" s="127"/>
      <c r="B17" s="133" t="s">
        <v>378</v>
      </c>
      <c r="C17" s="133" t="s">
        <v>379</v>
      </c>
      <c r="D17" s="140" t="s">
        <v>380</v>
      </c>
    </row>
    <row r="18" spans="1:4" x14ac:dyDescent="0.3">
      <c r="A18" s="127"/>
      <c r="B18" s="127" t="s">
        <v>394</v>
      </c>
      <c r="C18" s="143">
        <f>'DCF Valuation'!C20</f>
        <v>0.05</v>
      </c>
      <c r="D18" s="139" t="s">
        <v>395</v>
      </c>
    </row>
    <row r="19" spans="1:4" x14ac:dyDescent="0.3">
      <c r="A19" s="127"/>
      <c r="B19" s="127" t="s">
        <v>396</v>
      </c>
      <c r="C19" s="144">
        <f>'DCF Valuation'!C22</f>
        <v>0.66045290984858507</v>
      </c>
      <c r="D19" s="139" t="s">
        <v>319</v>
      </c>
    </row>
    <row r="20" spans="1:4" x14ac:dyDescent="0.3">
      <c r="A20" s="127"/>
      <c r="B20" s="127" t="s">
        <v>397</v>
      </c>
      <c r="C20" s="143">
        <f>'DCF Valuation'!C21</f>
        <v>7.3099999999999998E-2</v>
      </c>
      <c r="D20" s="139" t="s">
        <v>320</v>
      </c>
    </row>
    <row r="21" spans="1:4" x14ac:dyDescent="0.3">
      <c r="A21" s="127"/>
      <c r="B21" s="127" t="s">
        <v>398</v>
      </c>
      <c r="C21" s="138">
        <f>'DCF Valuation'!C23</f>
        <v>9.8279107709931562E-2</v>
      </c>
      <c r="D21" s="139" t="s">
        <v>399</v>
      </c>
    </row>
    <row r="22" spans="1:4" x14ac:dyDescent="0.3">
      <c r="A22" s="127"/>
      <c r="B22" s="127" t="s">
        <v>400</v>
      </c>
      <c r="C22" s="143">
        <f>'DCF Valuation'!C27</f>
        <v>0.27740189445196212</v>
      </c>
      <c r="D22" s="139" t="s">
        <v>401</v>
      </c>
    </row>
    <row r="23" spans="1:4" x14ac:dyDescent="0.3">
      <c r="A23" s="127"/>
      <c r="B23" s="127" t="s">
        <v>402</v>
      </c>
      <c r="C23" s="138">
        <f>'DCF Valuation'!C29</f>
        <v>0.19418132611637348</v>
      </c>
      <c r="D23" s="139" t="s">
        <v>403</v>
      </c>
    </row>
    <row r="24" spans="1:4" x14ac:dyDescent="0.3">
      <c r="A24" s="127"/>
      <c r="B24" s="127" t="s">
        <v>404</v>
      </c>
      <c r="C24" s="137">
        <f>'DCF Valuation'!C32</f>
        <v>0.995</v>
      </c>
      <c r="D24" s="139" t="s">
        <v>405</v>
      </c>
    </row>
    <row r="25" spans="1:4" x14ac:dyDescent="0.3">
      <c r="A25" s="127"/>
      <c r="B25" s="127" t="s">
        <v>406</v>
      </c>
      <c r="C25" s="137">
        <f>'DCF Valuation'!C31</f>
        <v>5.0000000000000001E-3</v>
      </c>
      <c r="D25" s="139" t="s">
        <v>407</v>
      </c>
    </row>
    <row r="26" spans="1:4" x14ac:dyDescent="0.3">
      <c r="A26" s="127"/>
      <c r="B26" s="127" t="s">
        <v>408</v>
      </c>
      <c r="C26" s="138">
        <f>'DCF Valuation'!C35</f>
        <v>9.875861880196378E-2</v>
      </c>
      <c r="D26" s="139" t="s">
        <v>409</v>
      </c>
    </row>
    <row r="27" spans="1:4" x14ac:dyDescent="0.3">
      <c r="A27" s="127"/>
      <c r="B27" s="127"/>
      <c r="C27" s="127"/>
      <c r="D27" s="127"/>
    </row>
    <row r="28" spans="1:4" x14ac:dyDescent="0.3">
      <c r="A28" s="127"/>
      <c r="B28" s="131" t="s">
        <v>410</v>
      </c>
      <c r="C28" s="131"/>
      <c r="D28" s="131"/>
    </row>
    <row r="29" spans="1:4" x14ac:dyDescent="0.3">
      <c r="A29" s="127"/>
      <c r="B29" s="133" t="s">
        <v>411</v>
      </c>
      <c r="C29" s="133" t="s">
        <v>412</v>
      </c>
      <c r="D29" s="133"/>
    </row>
    <row r="30" spans="1:4" ht="42.9" customHeight="1" x14ac:dyDescent="0.3">
      <c r="A30" s="127"/>
      <c r="B30" s="132" t="s">
        <v>413</v>
      </c>
      <c r="C30" s="350" t="s">
        <v>414</v>
      </c>
      <c r="D30" s="350"/>
    </row>
    <row r="31" spans="1:4" ht="42.9" customHeight="1" x14ac:dyDescent="0.3">
      <c r="A31" s="127"/>
      <c r="B31" s="132" t="s">
        <v>361</v>
      </c>
      <c r="C31" s="351" t="s">
        <v>415</v>
      </c>
      <c r="D31" s="351"/>
    </row>
    <row r="32" spans="1:4" ht="42.9" customHeight="1" x14ac:dyDescent="0.3">
      <c r="A32" s="127"/>
      <c r="B32" s="132" t="s">
        <v>365</v>
      </c>
      <c r="C32" s="351" t="s">
        <v>416</v>
      </c>
      <c r="D32" s="351"/>
    </row>
    <row r="33" spans="1:4" ht="42.9" customHeight="1" x14ac:dyDescent="0.3">
      <c r="A33" s="127"/>
      <c r="B33" s="132" t="s">
        <v>417</v>
      </c>
      <c r="C33" s="351" t="s">
        <v>418</v>
      </c>
      <c r="D33" s="351"/>
    </row>
    <row r="34" spans="1:4" ht="30" customHeight="1" x14ac:dyDescent="0.3">
      <c r="A34" s="127"/>
      <c r="B34" s="132" t="s">
        <v>419</v>
      </c>
      <c r="C34" s="351" t="s">
        <v>420</v>
      </c>
      <c r="D34" s="351"/>
    </row>
    <row r="35" spans="1:4" x14ac:dyDescent="0.3">
      <c r="A35" s="127"/>
      <c r="B35" s="127"/>
      <c r="C35" s="127"/>
      <c r="D35" s="127"/>
    </row>
    <row r="36" spans="1:4" x14ac:dyDescent="0.3">
      <c r="A36" s="127"/>
      <c r="B36" s="131" t="s">
        <v>421</v>
      </c>
      <c r="C36" s="131"/>
      <c r="D36" s="131"/>
    </row>
    <row r="37" spans="1:4" x14ac:dyDescent="0.3">
      <c r="A37" s="127"/>
      <c r="B37" s="133" t="s">
        <v>378</v>
      </c>
      <c r="C37" s="133" t="s">
        <v>379</v>
      </c>
      <c r="D37" s="133"/>
    </row>
    <row r="38" spans="1:4" ht="17.100000000000001" customHeight="1" x14ac:dyDescent="0.3">
      <c r="A38" s="127"/>
      <c r="B38" s="127" t="s">
        <v>422</v>
      </c>
      <c r="C38" s="352" t="s">
        <v>524</v>
      </c>
      <c r="D38" s="353"/>
    </row>
    <row r="39" spans="1:4" ht="17.100000000000001" customHeight="1" x14ac:dyDescent="0.3">
      <c r="A39" s="127"/>
      <c r="B39" s="127" t="s">
        <v>423</v>
      </c>
      <c r="C39" s="351" t="s">
        <v>424</v>
      </c>
      <c r="D39" s="351"/>
    </row>
    <row r="40" spans="1:4" ht="17.100000000000001" customHeight="1" x14ac:dyDescent="0.3">
      <c r="A40" s="127"/>
      <c r="B40" s="127" t="s">
        <v>425</v>
      </c>
      <c r="C40" s="351" t="str">
        <f>'DCF Valuation'!C73&amp;" crore shares of face value Re. 1 each"</f>
        <v>234.96 crore shares of face value Re. 1 each</v>
      </c>
      <c r="D40" s="351"/>
    </row>
    <row r="41" spans="1:4" ht="17.100000000000001" customHeight="1" x14ac:dyDescent="0.3">
      <c r="A41" s="127"/>
      <c r="B41" s="127" t="s">
        <v>426</v>
      </c>
      <c r="C41" s="351" t="str">
        <f>"Rs. "&amp;TEXT('DCF Valuation'!C75,"#,##0")&amp;" per share, being the closing price on 30 July 2026"</f>
        <v>Rs. 2,108 per share, being the closing price on 30 July 2026</v>
      </c>
      <c r="D41" s="351"/>
    </row>
    <row r="42" spans="1:4" ht="17.100000000000001" customHeight="1" x14ac:dyDescent="0.3">
      <c r="A42" s="127"/>
      <c r="B42" s="127" t="s">
        <v>427</v>
      </c>
      <c r="C42" s="351" t="s">
        <v>428</v>
      </c>
      <c r="D42" s="351"/>
    </row>
    <row r="43" spans="1:4" ht="30" customHeight="1" x14ac:dyDescent="0.3">
      <c r="A43" s="127"/>
      <c r="B43" s="127" t="s">
        <v>429</v>
      </c>
      <c r="C43" s="351" t="s">
        <v>430</v>
      </c>
      <c r="D43" s="351"/>
    </row>
    <row r="44" spans="1:4" x14ac:dyDescent="0.3">
      <c r="A44" s="127"/>
      <c r="B44" s="127"/>
      <c r="C44" s="127"/>
      <c r="D44" s="127"/>
    </row>
    <row r="45" spans="1:4" x14ac:dyDescent="0.3">
      <c r="A45" s="127"/>
      <c r="B45" s="127"/>
      <c r="C45" s="127"/>
      <c r="D45" s="127"/>
    </row>
    <row r="46" spans="1:4" x14ac:dyDescent="0.3">
      <c r="A46" s="127"/>
      <c r="B46" s="127"/>
      <c r="C46" s="127"/>
      <c r="D46" s="127"/>
    </row>
    <row r="47" spans="1:4" x14ac:dyDescent="0.3">
      <c r="A47" s="127"/>
      <c r="B47" s="127"/>
      <c r="C47" s="127"/>
      <c r="D47" s="127"/>
    </row>
    <row r="48" spans="1:4" x14ac:dyDescent="0.3">
      <c r="A48" s="127"/>
      <c r="B48" s="127"/>
      <c r="C48" s="127"/>
      <c r="D48" s="127"/>
    </row>
    <row r="49" spans="1:4" x14ac:dyDescent="0.3">
      <c r="A49" s="127"/>
      <c r="B49" s="127"/>
      <c r="C49" s="127"/>
      <c r="D49" s="127"/>
    </row>
    <row r="50" spans="1:4" x14ac:dyDescent="0.3">
      <c r="A50" s="127"/>
      <c r="B50" s="127"/>
      <c r="C50" s="127"/>
      <c r="D50" s="127"/>
    </row>
  </sheetData>
  <mergeCells count="11">
    <mergeCell ref="C39:D39"/>
    <mergeCell ref="C40:D40"/>
    <mergeCell ref="C41:D41"/>
    <mergeCell ref="C42:D42"/>
    <mergeCell ref="C43:D43"/>
    <mergeCell ref="C38:D38"/>
    <mergeCell ref="C30:D30"/>
    <mergeCell ref="C31:D31"/>
    <mergeCell ref="C32:D32"/>
    <mergeCell ref="C33:D33"/>
    <mergeCell ref="C34:D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54" activePane="bottomRight" state="frozen"/>
      <selection activeCell="C4" sqref="C4"/>
      <selection pane="topRight" activeCell="C4" sqref="C4"/>
      <selection pane="bottomLeft" activeCell="C4" sqref="C4"/>
      <selection pane="bottomRight" activeCell="F32" sqref="F32"/>
    </sheetView>
  </sheetViews>
  <sheetFormatPr defaultColWidth="8.6640625" defaultRowHeight="14.4" x14ac:dyDescent="0.3"/>
  <cols>
    <col min="1" max="1" width="27.6640625" style="4" bestFit="1" customWidth="1"/>
    <col min="2" max="11" width="13.44140625" style="4" bestFit="1" customWidth="1"/>
    <col min="12" max="16384" width="8.6640625" style="4"/>
  </cols>
  <sheetData>
    <row r="1" spans="1:11" s="1" customFormat="1" x14ac:dyDescent="0.3">
      <c r="A1" s="1" t="s">
        <v>0</v>
      </c>
      <c r="B1" s="1" t="s">
        <v>54</v>
      </c>
      <c r="E1" s="354" t="str">
        <f>IF(B2&lt;&gt;B3, "A NEW VERSION OF THE WORKSHEET IS AVAILABLE", "")</f>
        <v/>
      </c>
      <c r="F1" s="354"/>
      <c r="G1" s="354"/>
      <c r="H1" s="354"/>
      <c r="I1" s="354"/>
      <c r="J1" s="354"/>
      <c r="K1" s="354"/>
    </row>
    <row r="2" spans="1:11" x14ac:dyDescent="0.3">
      <c r="A2" s="1" t="s">
        <v>52</v>
      </c>
      <c r="B2" s="4">
        <v>2.1</v>
      </c>
      <c r="E2" s="355" t="s">
        <v>36</v>
      </c>
      <c r="F2" s="355"/>
      <c r="G2" s="355"/>
      <c r="H2" s="355"/>
      <c r="I2" s="355"/>
      <c r="J2" s="355"/>
      <c r="K2" s="355"/>
    </row>
    <row r="3" spans="1:11" x14ac:dyDescent="0.3">
      <c r="A3" s="1" t="s">
        <v>53</v>
      </c>
      <c r="B3" s="4">
        <v>2.1</v>
      </c>
    </row>
    <row r="4" spans="1:11" x14ac:dyDescent="0.3">
      <c r="A4" s="1"/>
    </row>
    <row r="5" spans="1:11" x14ac:dyDescent="0.3">
      <c r="A5" s="1" t="s">
        <v>55</v>
      </c>
    </row>
    <row r="6" spans="1:11" x14ac:dyDescent="0.3">
      <c r="A6" s="4" t="s">
        <v>42</v>
      </c>
      <c r="B6" s="4">
        <f>IF(B9&gt;0, B9/B8, 0)</f>
        <v>234.94240765422694</v>
      </c>
    </row>
    <row r="7" spans="1:11" x14ac:dyDescent="0.3">
      <c r="A7" s="4" t="s">
        <v>31</v>
      </c>
      <c r="B7">
        <v>1</v>
      </c>
    </row>
    <row r="8" spans="1:11" x14ac:dyDescent="0.3">
      <c r="A8" s="4" t="s">
        <v>43</v>
      </c>
      <c r="B8">
        <v>2100.8000000000002</v>
      </c>
    </row>
    <row r="9" spans="1:11" x14ac:dyDescent="0.3">
      <c r="A9" s="4" t="s">
        <v>70</v>
      </c>
      <c r="B9">
        <v>493567.01</v>
      </c>
    </row>
    <row r="15" spans="1:11" x14ac:dyDescent="0.3">
      <c r="A15" s="1" t="s">
        <v>37</v>
      </c>
    </row>
    <row r="16" spans="1:11" s="18" customFormat="1" x14ac:dyDescent="0.3">
      <c r="A16" s="17" t="s">
        <v>38</v>
      </c>
      <c r="B16" s="12">
        <v>42825</v>
      </c>
      <c r="C16" s="12">
        <v>43190</v>
      </c>
      <c r="D16" s="12">
        <v>43555</v>
      </c>
      <c r="E16" s="12">
        <v>43921</v>
      </c>
      <c r="F16" s="12">
        <v>44286</v>
      </c>
      <c r="G16" s="12">
        <v>44651</v>
      </c>
      <c r="H16" s="12">
        <v>45016</v>
      </c>
      <c r="I16" s="12">
        <v>45382</v>
      </c>
      <c r="J16" s="12">
        <v>45747</v>
      </c>
      <c r="K16" s="12">
        <v>46112</v>
      </c>
    </row>
    <row r="17" spans="1:11" s="6" customFormat="1" x14ac:dyDescent="0.3">
      <c r="A17" s="6" t="s">
        <v>6</v>
      </c>
      <c r="B17">
        <v>33162</v>
      </c>
      <c r="C17">
        <v>35545</v>
      </c>
      <c r="D17">
        <v>39310</v>
      </c>
      <c r="E17">
        <v>39783</v>
      </c>
      <c r="F17">
        <v>47028</v>
      </c>
      <c r="G17">
        <v>52446</v>
      </c>
      <c r="H17">
        <v>60580</v>
      </c>
      <c r="I17">
        <v>61896</v>
      </c>
      <c r="J17">
        <v>61328</v>
      </c>
      <c r="K17">
        <v>64468</v>
      </c>
    </row>
    <row r="18" spans="1:11" s="6" customFormat="1" x14ac:dyDescent="0.3">
      <c r="A18" s="4" t="s">
        <v>71</v>
      </c>
      <c r="B18">
        <v>13606</v>
      </c>
      <c r="C18">
        <v>14233</v>
      </c>
      <c r="D18">
        <v>15845</v>
      </c>
      <c r="E18">
        <v>15697</v>
      </c>
      <c r="F18">
        <v>20141</v>
      </c>
      <c r="G18">
        <v>22871</v>
      </c>
      <c r="H18">
        <v>28427</v>
      </c>
      <c r="I18">
        <v>26822</v>
      </c>
      <c r="J18">
        <v>26602</v>
      </c>
      <c r="K18">
        <v>29158</v>
      </c>
    </row>
    <row r="19" spans="1:11" s="6" customFormat="1" x14ac:dyDescent="0.3">
      <c r="A19" s="4" t="s">
        <v>72</v>
      </c>
      <c r="B19">
        <v>-144</v>
      </c>
      <c r="C19">
        <v>72</v>
      </c>
      <c r="D19">
        <v>-12</v>
      </c>
      <c r="E19">
        <v>108</v>
      </c>
      <c r="F19">
        <v>405</v>
      </c>
      <c r="G19">
        <v>22</v>
      </c>
      <c r="H19">
        <v>75</v>
      </c>
      <c r="I19">
        <v>11</v>
      </c>
      <c r="J19">
        <v>125</v>
      </c>
      <c r="K19">
        <v>429</v>
      </c>
    </row>
    <row r="20" spans="1:11" s="6" customFormat="1" x14ac:dyDescent="0.3">
      <c r="A20" s="4" t="s">
        <v>73</v>
      </c>
      <c r="B20">
        <v>295</v>
      </c>
      <c r="C20">
        <v>295</v>
      </c>
      <c r="D20">
        <v>308</v>
      </c>
      <c r="E20">
        <v>299</v>
      </c>
      <c r="F20">
        <v>339</v>
      </c>
      <c r="G20">
        <v>318</v>
      </c>
      <c r="H20">
        <v>384</v>
      </c>
      <c r="I20">
        <v>446</v>
      </c>
      <c r="J20">
        <v>403</v>
      </c>
      <c r="K20">
        <v>426</v>
      </c>
    </row>
    <row r="21" spans="1:11" s="6" customFormat="1" x14ac:dyDescent="0.3">
      <c r="A21" s="4" t="s">
        <v>74</v>
      </c>
      <c r="B21">
        <v>2887</v>
      </c>
      <c r="C21">
        <v>2998</v>
      </c>
      <c r="D21">
        <v>3041</v>
      </c>
      <c r="E21">
        <v>2906</v>
      </c>
      <c r="F21">
        <v>2868</v>
      </c>
      <c r="G21">
        <v>3354</v>
      </c>
      <c r="H21">
        <v>3791</v>
      </c>
      <c r="I21">
        <v>3385</v>
      </c>
      <c r="J21">
        <v>3687</v>
      </c>
      <c r="K21">
        <v>3304</v>
      </c>
    </row>
    <row r="22" spans="1:11" s="6" customFormat="1" x14ac:dyDescent="0.3">
      <c r="A22" s="4" t="s">
        <v>75</v>
      </c>
      <c r="B22">
        <v>1743</v>
      </c>
      <c r="C22">
        <v>1860</v>
      </c>
      <c r="D22">
        <v>1875</v>
      </c>
      <c r="E22">
        <v>1820</v>
      </c>
      <c r="F22">
        <v>2358</v>
      </c>
      <c r="G22">
        <v>2545</v>
      </c>
      <c r="H22">
        <v>2854</v>
      </c>
      <c r="I22">
        <v>3009</v>
      </c>
      <c r="J22">
        <v>2952</v>
      </c>
      <c r="K22">
        <v>3175</v>
      </c>
    </row>
    <row r="23" spans="1:11" s="6" customFormat="1" x14ac:dyDescent="0.3">
      <c r="A23" s="4" t="s">
        <v>76</v>
      </c>
      <c r="B23">
        <v>6689</v>
      </c>
      <c r="C23">
        <v>7252</v>
      </c>
      <c r="D23">
        <v>7796</v>
      </c>
      <c r="E23">
        <v>7620</v>
      </c>
      <c r="F23">
        <v>7906</v>
      </c>
      <c r="G23">
        <v>8164</v>
      </c>
      <c r="H23">
        <v>8785</v>
      </c>
      <c r="I23">
        <v>10780</v>
      </c>
      <c r="J23">
        <v>10145</v>
      </c>
      <c r="K23">
        <v>10744</v>
      </c>
    </row>
    <row r="24" spans="1:11" s="6" customFormat="1" x14ac:dyDescent="0.3">
      <c r="A24" s="4" t="s">
        <v>77</v>
      </c>
      <c r="B24">
        <v>1470</v>
      </c>
      <c r="C24">
        <v>1480</v>
      </c>
      <c r="D24">
        <v>1553</v>
      </c>
      <c r="E24">
        <v>1688</v>
      </c>
      <c r="F24">
        <v>2195</v>
      </c>
      <c r="G24">
        <v>2359</v>
      </c>
      <c r="H24">
        <v>2267</v>
      </c>
      <c r="I24">
        <v>2806</v>
      </c>
      <c r="J24">
        <v>2966</v>
      </c>
      <c r="K24">
        <v>3051</v>
      </c>
    </row>
    <row r="25" spans="1:11" s="6" customFormat="1" x14ac:dyDescent="0.3">
      <c r="A25" s="6" t="s">
        <v>9</v>
      </c>
      <c r="B25">
        <v>606</v>
      </c>
      <c r="C25">
        <v>353</v>
      </c>
      <c r="D25">
        <v>322</v>
      </c>
      <c r="E25">
        <v>424</v>
      </c>
      <c r="F25">
        <v>170</v>
      </c>
      <c r="G25">
        <v>219</v>
      </c>
      <c r="H25">
        <v>448</v>
      </c>
      <c r="I25">
        <v>817</v>
      </c>
      <c r="J25">
        <v>1355</v>
      </c>
      <c r="K25">
        <v>4923</v>
      </c>
    </row>
    <row r="26" spans="1:11" s="6" customFormat="1" x14ac:dyDescent="0.3">
      <c r="A26" s="6" t="s">
        <v>10</v>
      </c>
      <c r="B26">
        <v>432</v>
      </c>
      <c r="C26">
        <v>520</v>
      </c>
      <c r="D26">
        <v>565</v>
      </c>
      <c r="E26">
        <v>1002</v>
      </c>
      <c r="F26">
        <v>1074</v>
      </c>
      <c r="G26">
        <v>1091</v>
      </c>
      <c r="H26">
        <v>1137</v>
      </c>
      <c r="I26">
        <v>1216</v>
      </c>
      <c r="J26">
        <v>1253</v>
      </c>
      <c r="K26">
        <v>1333</v>
      </c>
    </row>
    <row r="27" spans="1:11" s="6" customFormat="1" x14ac:dyDescent="0.3">
      <c r="A27" s="6" t="s">
        <v>11</v>
      </c>
      <c r="B27">
        <v>35</v>
      </c>
      <c r="C27">
        <v>26</v>
      </c>
      <c r="D27">
        <v>33</v>
      </c>
      <c r="E27">
        <v>118</v>
      </c>
      <c r="F27">
        <v>117</v>
      </c>
      <c r="G27">
        <v>106</v>
      </c>
      <c r="H27">
        <v>114</v>
      </c>
      <c r="I27">
        <v>334</v>
      </c>
      <c r="J27">
        <v>381</v>
      </c>
      <c r="K27">
        <v>410</v>
      </c>
    </row>
    <row r="28" spans="1:11" s="6" customFormat="1" x14ac:dyDescent="0.3">
      <c r="A28" s="6" t="s">
        <v>12</v>
      </c>
      <c r="B28">
        <v>6467</v>
      </c>
      <c r="C28">
        <v>7306</v>
      </c>
      <c r="D28">
        <v>8604</v>
      </c>
      <c r="E28">
        <v>9165</v>
      </c>
      <c r="F28">
        <v>10605</v>
      </c>
      <c r="G28">
        <v>11879</v>
      </c>
      <c r="H28">
        <v>13344</v>
      </c>
      <c r="I28">
        <v>13926</v>
      </c>
      <c r="J28">
        <v>14419</v>
      </c>
      <c r="K28">
        <v>18219</v>
      </c>
    </row>
    <row r="29" spans="1:11" s="6" customFormat="1" x14ac:dyDescent="0.3">
      <c r="A29" s="6" t="s">
        <v>13</v>
      </c>
      <c r="B29">
        <v>1977</v>
      </c>
      <c r="C29">
        <v>2079</v>
      </c>
      <c r="D29">
        <v>2544</v>
      </c>
      <c r="E29">
        <v>2409</v>
      </c>
      <c r="F29">
        <v>2606</v>
      </c>
      <c r="G29">
        <v>2987</v>
      </c>
      <c r="H29">
        <v>3201</v>
      </c>
      <c r="I29">
        <v>3644</v>
      </c>
      <c r="J29">
        <v>3748</v>
      </c>
      <c r="K29">
        <v>3160</v>
      </c>
    </row>
    <row r="30" spans="1:11" s="6" customFormat="1" x14ac:dyDescent="0.3">
      <c r="A30" s="6" t="s">
        <v>14</v>
      </c>
      <c r="B30">
        <v>4476</v>
      </c>
      <c r="C30">
        <v>5214</v>
      </c>
      <c r="D30">
        <v>6054</v>
      </c>
      <c r="E30">
        <v>6748</v>
      </c>
      <c r="F30">
        <v>7995</v>
      </c>
      <c r="G30">
        <v>8879</v>
      </c>
      <c r="H30">
        <v>10120</v>
      </c>
      <c r="I30">
        <v>10277</v>
      </c>
      <c r="J30">
        <v>10649</v>
      </c>
      <c r="K30">
        <v>15040</v>
      </c>
    </row>
    <row r="31" spans="1:11" s="6" customFormat="1" x14ac:dyDescent="0.3">
      <c r="A31" s="6" t="s">
        <v>61</v>
      </c>
      <c r="B31">
        <v>3672</v>
      </c>
      <c r="C31">
        <v>4320</v>
      </c>
      <c r="D31">
        <v>4752</v>
      </c>
      <c r="E31">
        <v>5400</v>
      </c>
      <c r="F31">
        <v>9517.5</v>
      </c>
      <c r="G31">
        <v>7990</v>
      </c>
      <c r="H31">
        <v>9165</v>
      </c>
      <c r="I31">
        <v>9870</v>
      </c>
      <c r="J31">
        <v>12455</v>
      </c>
      <c r="K31">
        <v>9635</v>
      </c>
    </row>
    <row r="32" spans="1:11" s="6" customFormat="1" x14ac:dyDescent="0.3">
      <c r="C32" s="6" t="s">
        <v>81</v>
      </c>
    </row>
    <row r="33" spans="1:11" x14ac:dyDescent="0.3">
      <c r="A33" s="6"/>
    </row>
    <row r="34" spans="1:11" x14ac:dyDescent="0.3">
      <c r="A34" s="6"/>
    </row>
    <row r="35" spans="1:11" x14ac:dyDescent="0.3">
      <c r="A35" s="6"/>
    </row>
    <row r="36" spans="1:11" x14ac:dyDescent="0.3">
      <c r="A36" s="6"/>
    </row>
    <row r="37" spans="1:11" x14ac:dyDescent="0.3">
      <c r="A37" s="6"/>
    </row>
    <row r="38" spans="1:11" x14ac:dyDescent="0.3">
      <c r="A38" s="6"/>
    </row>
    <row r="39" spans="1:11" x14ac:dyDescent="0.3">
      <c r="A39" s="6"/>
    </row>
    <row r="40" spans="1:11" x14ac:dyDescent="0.3">
      <c r="A40" s="1" t="s">
        <v>39</v>
      </c>
    </row>
    <row r="41" spans="1:11" s="18" customFormat="1" x14ac:dyDescent="0.3">
      <c r="A41" s="17" t="s">
        <v>38</v>
      </c>
      <c r="B41" s="12">
        <v>45382</v>
      </c>
      <c r="C41" s="12">
        <v>45473</v>
      </c>
      <c r="D41" s="12">
        <v>45565</v>
      </c>
      <c r="E41" s="12">
        <v>45657</v>
      </c>
      <c r="F41" s="12">
        <v>45747</v>
      </c>
      <c r="G41" s="12">
        <v>45838</v>
      </c>
      <c r="H41" s="12">
        <v>45930</v>
      </c>
      <c r="I41" s="12">
        <v>46022</v>
      </c>
      <c r="J41" s="12">
        <v>46112</v>
      </c>
      <c r="K41" s="12">
        <v>46203</v>
      </c>
    </row>
    <row r="42" spans="1:11" s="6" customFormat="1" x14ac:dyDescent="0.3">
      <c r="A42" s="6" t="s">
        <v>6</v>
      </c>
      <c r="B42">
        <v>15210</v>
      </c>
      <c r="C42">
        <v>15707</v>
      </c>
      <c r="D42">
        <v>15926</v>
      </c>
      <c r="E42">
        <v>15556</v>
      </c>
      <c r="F42">
        <v>15190</v>
      </c>
      <c r="G42">
        <v>15757</v>
      </c>
      <c r="H42">
        <v>15919</v>
      </c>
      <c r="I42">
        <v>16441</v>
      </c>
      <c r="J42">
        <v>16351</v>
      </c>
      <c r="K42">
        <v>17341</v>
      </c>
    </row>
    <row r="43" spans="1:11" s="6" customFormat="1" x14ac:dyDescent="0.3">
      <c r="A43" s="6" t="s">
        <v>7</v>
      </c>
      <c r="B43">
        <v>11675</v>
      </c>
      <c r="C43">
        <v>11965</v>
      </c>
      <c r="D43">
        <v>12139</v>
      </c>
      <c r="E43">
        <v>11867</v>
      </c>
      <c r="F43">
        <v>11572</v>
      </c>
      <c r="G43">
        <v>12118</v>
      </c>
      <c r="H43">
        <v>12137</v>
      </c>
      <c r="I43">
        <v>12660</v>
      </c>
      <c r="J43">
        <v>12514</v>
      </c>
      <c r="K43">
        <v>13394</v>
      </c>
    </row>
    <row r="44" spans="1:11" s="6" customFormat="1" x14ac:dyDescent="0.3">
      <c r="A44" s="6" t="s">
        <v>9</v>
      </c>
      <c r="B44">
        <v>309</v>
      </c>
      <c r="C44">
        <v>209</v>
      </c>
      <c r="D44">
        <v>203</v>
      </c>
      <c r="E44">
        <v>733</v>
      </c>
      <c r="F44">
        <v>149</v>
      </c>
      <c r="G44">
        <v>103</v>
      </c>
      <c r="H44">
        <v>269</v>
      </c>
      <c r="I44">
        <v>4048</v>
      </c>
      <c r="J44">
        <v>503</v>
      </c>
      <c r="K44">
        <v>113</v>
      </c>
    </row>
    <row r="45" spans="1:11" s="6" customFormat="1" x14ac:dyDescent="0.3">
      <c r="A45" s="6" t="s">
        <v>10</v>
      </c>
      <c r="B45">
        <v>320</v>
      </c>
      <c r="C45">
        <v>329</v>
      </c>
      <c r="D45">
        <v>338</v>
      </c>
      <c r="E45">
        <v>318</v>
      </c>
      <c r="F45">
        <v>318</v>
      </c>
      <c r="G45">
        <v>326</v>
      </c>
      <c r="H45">
        <v>322</v>
      </c>
      <c r="I45">
        <v>337</v>
      </c>
      <c r="J45">
        <v>348</v>
      </c>
      <c r="K45">
        <v>353</v>
      </c>
    </row>
    <row r="46" spans="1:11" s="6" customFormat="1" x14ac:dyDescent="0.3">
      <c r="A46" s="6" t="s">
        <v>11</v>
      </c>
      <c r="B46">
        <v>105</v>
      </c>
      <c r="C46">
        <v>93</v>
      </c>
      <c r="D46">
        <v>110</v>
      </c>
      <c r="E46">
        <v>109</v>
      </c>
      <c r="F46">
        <v>77</v>
      </c>
      <c r="G46">
        <v>122</v>
      </c>
      <c r="H46">
        <v>124</v>
      </c>
      <c r="I46">
        <v>88</v>
      </c>
      <c r="J46">
        <v>76</v>
      </c>
      <c r="K46">
        <v>75</v>
      </c>
    </row>
    <row r="47" spans="1:11" s="6" customFormat="1" x14ac:dyDescent="0.3">
      <c r="A47" s="6" t="s">
        <v>12</v>
      </c>
      <c r="B47">
        <v>3419</v>
      </c>
      <c r="C47">
        <v>3529</v>
      </c>
      <c r="D47">
        <v>3542</v>
      </c>
      <c r="E47">
        <v>3995</v>
      </c>
      <c r="F47">
        <v>3372</v>
      </c>
      <c r="G47">
        <v>3294</v>
      </c>
      <c r="H47">
        <v>3605</v>
      </c>
      <c r="I47">
        <v>7404</v>
      </c>
      <c r="J47">
        <v>3916</v>
      </c>
      <c r="K47">
        <v>3632</v>
      </c>
    </row>
    <row r="48" spans="1:11" s="6" customFormat="1" x14ac:dyDescent="0.3">
      <c r="A48" s="6" t="s">
        <v>13</v>
      </c>
      <c r="B48">
        <v>858</v>
      </c>
      <c r="C48">
        <v>917</v>
      </c>
      <c r="D48">
        <v>947</v>
      </c>
      <c r="E48">
        <v>1006</v>
      </c>
      <c r="F48">
        <v>897</v>
      </c>
      <c r="G48">
        <v>526</v>
      </c>
      <c r="H48">
        <v>911</v>
      </c>
      <c r="I48">
        <v>801</v>
      </c>
      <c r="J48">
        <v>922</v>
      </c>
      <c r="K48">
        <v>952</v>
      </c>
    </row>
    <row r="49" spans="1:11" s="6" customFormat="1" x14ac:dyDescent="0.3">
      <c r="A49" s="6" t="s">
        <v>14</v>
      </c>
      <c r="B49">
        <v>2558</v>
      </c>
      <c r="C49">
        <v>2610</v>
      </c>
      <c r="D49">
        <v>2591</v>
      </c>
      <c r="E49">
        <v>2984</v>
      </c>
      <c r="F49">
        <v>2464</v>
      </c>
      <c r="G49">
        <v>2756</v>
      </c>
      <c r="H49">
        <v>2685</v>
      </c>
      <c r="I49">
        <v>6607</v>
      </c>
      <c r="J49">
        <v>2992</v>
      </c>
      <c r="K49">
        <v>2673</v>
      </c>
    </row>
    <row r="50" spans="1:11" x14ac:dyDescent="0.3">
      <c r="A50" s="6" t="s">
        <v>8</v>
      </c>
      <c r="B50">
        <v>3535</v>
      </c>
      <c r="C50">
        <v>3742</v>
      </c>
      <c r="D50">
        <v>3787</v>
      </c>
      <c r="E50">
        <v>3689</v>
      </c>
      <c r="F50">
        <v>3618</v>
      </c>
      <c r="G50">
        <v>3639</v>
      </c>
      <c r="H50">
        <v>3782</v>
      </c>
      <c r="I50">
        <v>3781</v>
      </c>
      <c r="J50">
        <v>3837</v>
      </c>
      <c r="K50">
        <v>3947</v>
      </c>
    </row>
    <row r="51" spans="1:11" x14ac:dyDescent="0.3">
      <c r="A51" s="6"/>
    </row>
    <row r="52" spans="1:11" x14ac:dyDescent="0.3">
      <c r="A52" s="6"/>
    </row>
    <row r="53" spans="1:11" x14ac:dyDescent="0.3">
      <c r="A53" s="6"/>
    </row>
    <row r="54" spans="1:11" x14ac:dyDescent="0.3">
      <c r="A54" s="6"/>
    </row>
    <row r="55" spans="1:11" x14ac:dyDescent="0.3">
      <c r="A55" s="1" t="s">
        <v>40</v>
      </c>
    </row>
    <row r="56" spans="1:11" s="18" customFormat="1" x14ac:dyDescent="0.3">
      <c r="A56" s="17" t="s">
        <v>38</v>
      </c>
      <c r="B56" s="12">
        <v>42825</v>
      </c>
      <c r="C56" s="12">
        <v>43190</v>
      </c>
      <c r="D56" s="12">
        <v>43555</v>
      </c>
      <c r="E56" s="12">
        <v>43921</v>
      </c>
      <c r="F56" s="12">
        <v>44286</v>
      </c>
      <c r="G56" s="12">
        <v>44651</v>
      </c>
      <c r="H56" s="12">
        <v>45016</v>
      </c>
      <c r="I56" s="12">
        <v>45382</v>
      </c>
      <c r="J56" s="12">
        <v>45747</v>
      </c>
      <c r="K56" s="12">
        <v>46112</v>
      </c>
    </row>
    <row r="57" spans="1:11" x14ac:dyDescent="0.3">
      <c r="A57" s="6" t="s">
        <v>24</v>
      </c>
      <c r="B57">
        <v>216</v>
      </c>
      <c r="C57">
        <v>216</v>
      </c>
      <c r="D57">
        <v>216</v>
      </c>
      <c r="E57">
        <v>216</v>
      </c>
      <c r="F57">
        <v>235</v>
      </c>
      <c r="G57">
        <v>235</v>
      </c>
      <c r="H57">
        <v>235</v>
      </c>
      <c r="I57">
        <v>235</v>
      </c>
      <c r="J57">
        <v>235</v>
      </c>
      <c r="K57">
        <v>235</v>
      </c>
    </row>
    <row r="58" spans="1:11" x14ac:dyDescent="0.3">
      <c r="A58" s="6" t="s">
        <v>25</v>
      </c>
      <c r="B58">
        <v>6528</v>
      </c>
      <c r="C58">
        <v>7065</v>
      </c>
      <c r="D58">
        <v>7651</v>
      </c>
      <c r="E58">
        <v>8013</v>
      </c>
      <c r="F58">
        <v>47439</v>
      </c>
      <c r="G58">
        <v>48826</v>
      </c>
      <c r="H58">
        <v>50069</v>
      </c>
      <c r="I58">
        <v>50983</v>
      </c>
      <c r="J58">
        <v>49167</v>
      </c>
      <c r="K58">
        <v>48504</v>
      </c>
    </row>
    <row r="59" spans="1:11" x14ac:dyDescent="0.3">
      <c r="A59" s="6" t="s">
        <v>62</v>
      </c>
      <c r="B59">
        <v>277</v>
      </c>
      <c r="D59">
        <v>99</v>
      </c>
      <c r="G59">
        <v>1043</v>
      </c>
      <c r="H59">
        <v>1219</v>
      </c>
      <c r="I59">
        <v>1484</v>
      </c>
      <c r="J59">
        <v>1648</v>
      </c>
      <c r="K59">
        <v>1478</v>
      </c>
    </row>
    <row r="60" spans="1:11" x14ac:dyDescent="0.3">
      <c r="A60" s="6" t="s">
        <v>63</v>
      </c>
      <c r="B60">
        <v>8685</v>
      </c>
      <c r="C60">
        <v>10581</v>
      </c>
      <c r="D60">
        <v>10663</v>
      </c>
      <c r="E60">
        <v>11924</v>
      </c>
      <c r="F60">
        <v>21066</v>
      </c>
      <c r="G60">
        <v>20402</v>
      </c>
      <c r="H60">
        <v>21554</v>
      </c>
      <c r="I60">
        <v>25787</v>
      </c>
      <c r="J60">
        <v>28813</v>
      </c>
      <c r="K60">
        <v>29521</v>
      </c>
    </row>
    <row r="61" spans="1:11" s="1" customFormat="1" x14ac:dyDescent="0.3">
      <c r="A61" s="1" t="s">
        <v>26</v>
      </c>
      <c r="B61">
        <v>15706</v>
      </c>
      <c r="C61">
        <v>17862</v>
      </c>
      <c r="D61">
        <v>18629</v>
      </c>
      <c r="E61">
        <v>20153</v>
      </c>
      <c r="F61">
        <v>68740</v>
      </c>
      <c r="G61">
        <v>70506</v>
      </c>
      <c r="H61">
        <v>73077</v>
      </c>
      <c r="I61">
        <v>78489</v>
      </c>
      <c r="J61">
        <v>79863</v>
      </c>
      <c r="K61">
        <v>79738</v>
      </c>
    </row>
    <row r="62" spans="1:11" x14ac:dyDescent="0.3">
      <c r="A62" s="6" t="s">
        <v>27</v>
      </c>
      <c r="B62">
        <v>4419</v>
      </c>
      <c r="C62">
        <v>4528</v>
      </c>
      <c r="D62">
        <v>4715</v>
      </c>
      <c r="E62">
        <v>5479</v>
      </c>
      <c r="F62">
        <v>51443</v>
      </c>
      <c r="G62">
        <v>51473</v>
      </c>
      <c r="H62">
        <v>52678</v>
      </c>
      <c r="I62">
        <v>53744</v>
      </c>
      <c r="J62">
        <v>54335</v>
      </c>
      <c r="K62">
        <v>57428</v>
      </c>
    </row>
    <row r="63" spans="1:11" x14ac:dyDescent="0.3">
      <c r="A63" s="6" t="s">
        <v>28</v>
      </c>
      <c r="B63">
        <v>229</v>
      </c>
      <c r="C63">
        <v>461</v>
      </c>
      <c r="D63">
        <v>406</v>
      </c>
      <c r="E63">
        <v>597</v>
      </c>
      <c r="F63">
        <v>745</v>
      </c>
      <c r="G63">
        <v>1313</v>
      </c>
      <c r="H63">
        <v>1132</v>
      </c>
      <c r="I63">
        <v>1025</v>
      </c>
      <c r="J63">
        <v>1009</v>
      </c>
      <c r="K63">
        <v>880</v>
      </c>
    </row>
    <row r="64" spans="1:11" x14ac:dyDescent="0.3">
      <c r="A64" s="6" t="s">
        <v>29</v>
      </c>
      <c r="B64">
        <v>3794</v>
      </c>
      <c r="C64">
        <v>2873</v>
      </c>
      <c r="D64">
        <v>2716</v>
      </c>
      <c r="E64">
        <v>1255</v>
      </c>
      <c r="F64">
        <v>2709</v>
      </c>
      <c r="G64">
        <v>3521</v>
      </c>
      <c r="H64">
        <v>2882</v>
      </c>
      <c r="I64">
        <v>4625</v>
      </c>
      <c r="J64">
        <v>3810</v>
      </c>
      <c r="K64">
        <v>4359</v>
      </c>
    </row>
    <row r="65" spans="1:11" x14ac:dyDescent="0.3">
      <c r="A65" s="6" t="s">
        <v>64</v>
      </c>
      <c r="B65">
        <v>7264</v>
      </c>
      <c r="C65">
        <v>10000</v>
      </c>
      <c r="D65">
        <v>10792</v>
      </c>
      <c r="E65">
        <v>12822</v>
      </c>
      <c r="F65">
        <v>13843</v>
      </c>
      <c r="G65">
        <v>14199</v>
      </c>
      <c r="H65">
        <v>16385</v>
      </c>
      <c r="I65">
        <v>19095</v>
      </c>
      <c r="J65">
        <v>20709</v>
      </c>
      <c r="K65">
        <v>17071</v>
      </c>
    </row>
    <row r="66" spans="1:11" s="1" customFormat="1" x14ac:dyDescent="0.3">
      <c r="A66" s="1" t="s">
        <v>26</v>
      </c>
      <c r="B66">
        <v>15706</v>
      </c>
      <c r="C66">
        <v>17862</v>
      </c>
      <c r="D66">
        <v>18629</v>
      </c>
      <c r="E66">
        <v>20153</v>
      </c>
      <c r="F66">
        <v>68740</v>
      </c>
      <c r="G66">
        <v>70506</v>
      </c>
      <c r="H66">
        <v>73077</v>
      </c>
      <c r="I66">
        <v>78489</v>
      </c>
      <c r="J66">
        <v>79863</v>
      </c>
      <c r="K66">
        <v>79738</v>
      </c>
    </row>
    <row r="67" spans="1:11" s="6" customFormat="1" x14ac:dyDescent="0.3">
      <c r="A67" s="6" t="s">
        <v>69</v>
      </c>
      <c r="B67">
        <v>1085</v>
      </c>
      <c r="C67">
        <v>1310</v>
      </c>
      <c r="D67">
        <v>1816</v>
      </c>
      <c r="E67">
        <v>1149</v>
      </c>
      <c r="F67">
        <v>1758</v>
      </c>
      <c r="G67">
        <v>2236</v>
      </c>
      <c r="H67">
        <v>3079</v>
      </c>
      <c r="I67">
        <v>2997</v>
      </c>
      <c r="J67">
        <v>3819</v>
      </c>
      <c r="K67">
        <v>3379</v>
      </c>
    </row>
    <row r="68" spans="1:11" x14ac:dyDescent="0.3">
      <c r="A68" s="6" t="s">
        <v>45</v>
      </c>
      <c r="B68">
        <v>2541</v>
      </c>
      <c r="C68">
        <v>2513</v>
      </c>
      <c r="D68">
        <v>2574</v>
      </c>
      <c r="E68">
        <v>2767</v>
      </c>
      <c r="F68">
        <v>3579</v>
      </c>
      <c r="G68">
        <v>4096</v>
      </c>
      <c r="H68">
        <v>4251</v>
      </c>
      <c r="I68">
        <v>4022</v>
      </c>
      <c r="J68">
        <v>4415</v>
      </c>
      <c r="K68">
        <v>4789</v>
      </c>
    </row>
    <row r="69" spans="1:11" x14ac:dyDescent="0.3">
      <c r="A69" s="4" t="s">
        <v>78</v>
      </c>
      <c r="B69">
        <v>1828</v>
      </c>
      <c r="C69">
        <v>3485</v>
      </c>
      <c r="D69">
        <v>3757</v>
      </c>
      <c r="E69">
        <v>5113</v>
      </c>
      <c r="F69">
        <v>4471</v>
      </c>
      <c r="G69">
        <v>3846</v>
      </c>
      <c r="H69">
        <v>4678</v>
      </c>
      <c r="I69">
        <v>7559</v>
      </c>
      <c r="J69">
        <v>7554</v>
      </c>
      <c r="K69">
        <v>3248</v>
      </c>
    </row>
    <row r="70" spans="1:11" x14ac:dyDescent="0.3">
      <c r="A70" s="4" t="s">
        <v>65</v>
      </c>
      <c r="B70">
        <v>2164349639</v>
      </c>
      <c r="C70">
        <v>2164528777</v>
      </c>
      <c r="D70">
        <v>2164704405</v>
      </c>
      <c r="E70">
        <v>2164704405</v>
      </c>
      <c r="F70">
        <v>2349567819</v>
      </c>
      <c r="G70">
        <v>2349591262</v>
      </c>
      <c r="H70">
        <v>2349591262</v>
      </c>
      <c r="I70">
        <v>2349591262</v>
      </c>
      <c r="J70">
        <v>2349591262</v>
      </c>
      <c r="K70">
        <v>2349591262</v>
      </c>
    </row>
    <row r="71" spans="1:11" x14ac:dyDescent="0.3">
      <c r="A71" s="4" t="s">
        <v>66</v>
      </c>
    </row>
    <row r="72" spans="1:11" x14ac:dyDescent="0.3">
      <c r="A72" s="4" t="s">
        <v>79</v>
      </c>
      <c r="B72">
        <v>1</v>
      </c>
      <c r="C72">
        <v>1</v>
      </c>
      <c r="D72">
        <v>1</v>
      </c>
      <c r="E72">
        <v>1</v>
      </c>
      <c r="F72">
        <v>1</v>
      </c>
      <c r="G72">
        <v>1</v>
      </c>
      <c r="H72">
        <v>1</v>
      </c>
      <c r="I72">
        <v>1</v>
      </c>
      <c r="J72">
        <v>1</v>
      </c>
      <c r="K72">
        <v>1</v>
      </c>
    </row>
    <row r="74" spans="1:11" x14ac:dyDescent="0.3">
      <c r="A74" s="6"/>
      <c r="B74" s="4" t="s">
        <v>81</v>
      </c>
    </row>
    <row r="75" spans="1:11" x14ac:dyDescent="0.3">
      <c r="A75" s="6"/>
    </row>
    <row r="76" spans="1:11" x14ac:dyDescent="0.3">
      <c r="A76" s="6"/>
    </row>
    <row r="77" spans="1:11" x14ac:dyDescent="0.3">
      <c r="A77" s="6"/>
    </row>
    <row r="78" spans="1:11" x14ac:dyDescent="0.3">
      <c r="A78" s="6"/>
    </row>
    <row r="79" spans="1:11" x14ac:dyDescent="0.3">
      <c r="A79" s="6"/>
    </row>
    <row r="80" spans="1:11" x14ac:dyDescent="0.3">
      <c r="A80" s="1" t="s">
        <v>41</v>
      </c>
    </row>
    <row r="81" spans="1:11" s="18" customFormat="1" x14ac:dyDescent="0.3">
      <c r="A81" s="17" t="s">
        <v>38</v>
      </c>
      <c r="B81" s="12">
        <v>42825</v>
      </c>
      <c r="C81" s="12">
        <v>43190</v>
      </c>
      <c r="D81" s="12">
        <v>43555</v>
      </c>
      <c r="E81" s="12">
        <v>43921</v>
      </c>
      <c r="F81" s="12">
        <v>44286</v>
      </c>
      <c r="G81" s="12">
        <v>44651</v>
      </c>
      <c r="H81" s="12">
        <v>45016</v>
      </c>
      <c r="I81" s="12">
        <v>45382</v>
      </c>
      <c r="J81" s="12">
        <v>45747</v>
      </c>
      <c r="K81" s="12">
        <v>46112</v>
      </c>
    </row>
    <row r="82" spans="1:11" s="1" customFormat="1" x14ac:dyDescent="0.3">
      <c r="A82" s="6" t="s">
        <v>32</v>
      </c>
      <c r="B82">
        <v>5185</v>
      </c>
      <c r="C82">
        <v>6059</v>
      </c>
      <c r="D82">
        <v>5800</v>
      </c>
      <c r="E82">
        <v>7623</v>
      </c>
      <c r="F82">
        <v>9163</v>
      </c>
      <c r="G82">
        <v>9048</v>
      </c>
      <c r="H82">
        <v>9991</v>
      </c>
      <c r="I82">
        <v>15469</v>
      </c>
      <c r="J82">
        <v>11886</v>
      </c>
      <c r="K82">
        <v>10999</v>
      </c>
    </row>
    <row r="83" spans="1:11" s="6" customFormat="1" x14ac:dyDescent="0.3">
      <c r="A83" s="6" t="s">
        <v>33</v>
      </c>
      <c r="B83">
        <v>-1173</v>
      </c>
      <c r="C83">
        <v>-1063</v>
      </c>
      <c r="D83">
        <v>-438</v>
      </c>
      <c r="E83">
        <v>1791</v>
      </c>
      <c r="F83">
        <v>-1228</v>
      </c>
      <c r="G83">
        <v>-1728</v>
      </c>
      <c r="H83">
        <v>-1484</v>
      </c>
      <c r="I83">
        <v>-5324</v>
      </c>
      <c r="J83">
        <v>6473</v>
      </c>
      <c r="K83">
        <v>-3676</v>
      </c>
    </row>
    <row r="84" spans="1:11" s="6" customFormat="1" x14ac:dyDescent="0.3">
      <c r="A84" s="6" t="s">
        <v>34</v>
      </c>
      <c r="B84">
        <v>-4214</v>
      </c>
      <c r="C84">
        <v>-4975</v>
      </c>
      <c r="D84">
        <v>-5390</v>
      </c>
      <c r="E84">
        <v>-6819</v>
      </c>
      <c r="F84">
        <v>-9309</v>
      </c>
      <c r="G84">
        <v>-8015</v>
      </c>
      <c r="H84">
        <v>-8953</v>
      </c>
      <c r="I84">
        <v>-10034</v>
      </c>
      <c r="J84">
        <v>-13101</v>
      </c>
      <c r="K84">
        <v>-10810</v>
      </c>
    </row>
    <row r="85" spans="1:11" s="1" customFormat="1" x14ac:dyDescent="0.3">
      <c r="A85" s="6" t="s">
        <v>35</v>
      </c>
      <c r="B85">
        <v>-202</v>
      </c>
      <c r="C85">
        <v>21</v>
      </c>
      <c r="D85">
        <v>-28</v>
      </c>
      <c r="E85">
        <v>2595</v>
      </c>
      <c r="F85">
        <v>-1374</v>
      </c>
      <c r="G85">
        <v>-695</v>
      </c>
      <c r="H85">
        <v>-446</v>
      </c>
      <c r="I85">
        <v>111</v>
      </c>
      <c r="J85">
        <v>5258</v>
      </c>
      <c r="K85">
        <v>-3487</v>
      </c>
    </row>
    <row r="86" spans="1:11" x14ac:dyDescent="0.3">
      <c r="A86" s="6"/>
    </row>
    <row r="87" spans="1:11" x14ac:dyDescent="0.3">
      <c r="A87" s="6"/>
    </row>
    <row r="88" spans="1:11" x14ac:dyDescent="0.3">
      <c r="A88" s="6"/>
    </row>
    <row r="89" spans="1:11" x14ac:dyDescent="0.3">
      <c r="A89" s="6"/>
    </row>
    <row r="90" spans="1:11" s="1" customFormat="1" x14ac:dyDescent="0.3">
      <c r="A90" s="1" t="s">
        <v>68</v>
      </c>
      <c r="B90">
        <v>872.61</v>
      </c>
      <c r="C90">
        <v>1276.1099999999999</v>
      </c>
      <c r="D90">
        <v>1633.53</v>
      </c>
      <c r="E90">
        <v>2199.83</v>
      </c>
      <c r="F90">
        <v>2327.12</v>
      </c>
      <c r="G90">
        <v>1960.7</v>
      </c>
      <c r="H90">
        <v>2450.44</v>
      </c>
      <c r="I90">
        <v>2167.14</v>
      </c>
      <c r="J90">
        <v>2161.88</v>
      </c>
      <c r="K90">
        <v>2055.1999999999998</v>
      </c>
    </row>
    <row r="92" spans="1:11" s="1" customFormat="1" x14ac:dyDescent="0.3">
      <c r="A92" s="1" t="s">
        <v>67</v>
      </c>
    </row>
    <row r="93" spans="1:11" x14ac:dyDescent="0.3">
      <c r="A93" s="4" t="s">
        <v>80</v>
      </c>
      <c r="B93" s="21">
        <v>216.43</v>
      </c>
      <c r="C93" s="21">
        <v>216.45</v>
      </c>
      <c r="D93" s="21">
        <v>216.47</v>
      </c>
      <c r="E93" s="21">
        <v>216.48</v>
      </c>
      <c r="F93" s="21">
        <v>234.96</v>
      </c>
      <c r="G93" s="21">
        <v>234.96</v>
      </c>
      <c r="H93" s="21">
        <v>234.96</v>
      </c>
      <c r="I93" s="21">
        <v>234.96</v>
      </c>
      <c r="J93" s="21">
        <v>234.96</v>
      </c>
      <c r="K93" s="21">
        <v>234.96</v>
      </c>
    </row>
  </sheetData>
  <mergeCells count="2">
    <mergeCell ref="E1:K1"/>
    <mergeCell ref="E2:K2"/>
  </mergeCells>
  <conditionalFormatting sqref="E1:K1">
    <cfRule type="cellIs" dxfId="1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808080"/>
    <pageSetUpPr fitToPage="1"/>
  </sheetPr>
  <dimension ref="A1:N25"/>
  <sheetViews>
    <sheetView showGridLines="0" zoomScale="64" zoomScaleNormal="120" zoomScaleSheetLayoutView="100" zoomScalePageLayoutView="120" workbookViewId="0">
      <pane xSplit="1" ySplit="4" topLeftCell="B5" activePane="bottomRight" state="frozen"/>
      <selection activeCell="I2" sqref="I2"/>
      <selection pane="topRight" activeCell="I2" sqref="I2"/>
      <selection pane="bottomLeft" activeCell="I2" sqref="I2"/>
      <selection pane="bottomRight" activeCell="G26" sqref="G26"/>
    </sheetView>
  </sheetViews>
  <sheetFormatPr defaultColWidth="8.6640625" defaultRowHeight="14.4" x14ac:dyDescent="0.3"/>
  <cols>
    <col min="1" max="1" width="20.6640625" customWidth="1"/>
    <col min="2" max="6" width="13.44140625" customWidth="1"/>
    <col min="7" max="7" width="14.6640625" bestFit="1" customWidth="1"/>
    <col min="8" max="11" width="13.44140625" customWidth="1"/>
    <col min="12" max="12" width="13.33203125" customWidth="1"/>
    <col min="13" max="14" width="12.109375" customWidth="1"/>
  </cols>
  <sheetData>
    <row r="1" spans="1:14" s="2" customFormat="1" x14ac:dyDescent="0.3">
      <c r="A1" s="2" t="str">
        <f>'Data Sheet'!B1</f>
        <v>HINDUSTAN UNILEVER LTD</v>
      </c>
      <c r="H1" t="str">
        <f>UPDATE</f>
        <v/>
      </c>
      <c r="J1" s="3"/>
      <c r="K1" s="3"/>
      <c r="M1" s="2" t="s">
        <v>1</v>
      </c>
    </row>
    <row r="3" spans="1:14" s="2" customFormat="1" x14ac:dyDescent="0.3">
      <c r="A3" s="11" t="s">
        <v>2</v>
      </c>
      <c r="B3" s="12">
        <f>'Data Sheet'!B16</f>
        <v>42825</v>
      </c>
      <c r="C3" s="12">
        <f>'Data Sheet'!C16</f>
        <v>43190</v>
      </c>
      <c r="D3" s="12">
        <f>'Data Sheet'!D16</f>
        <v>43555</v>
      </c>
      <c r="E3" s="12">
        <f>'Data Sheet'!E16</f>
        <v>43921</v>
      </c>
      <c r="F3" s="12">
        <f>'Data Sheet'!F16</f>
        <v>44286</v>
      </c>
      <c r="G3" s="12">
        <f>'Data Sheet'!G16</f>
        <v>44651</v>
      </c>
      <c r="H3" s="12">
        <f>'Data Sheet'!H16</f>
        <v>45016</v>
      </c>
      <c r="I3" s="12">
        <f>'Data Sheet'!I16</f>
        <v>45382</v>
      </c>
      <c r="J3" s="12">
        <f>'Data Sheet'!J16</f>
        <v>45747</v>
      </c>
      <c r="K3" s="12">
        <f>'Data Sheet'!K16</f>
        <v>46112</v>
      </c>
      <c r="L3" s="13" t="s">
        <v>3</v>
      </c>
      <c r="M3" s="13" t="s">
        <v>4</v>
      </c>
      <c r="N3" s="13" t="s">
        <v>5</v>
      </c>
    </row>
    <row r="4" spans="1:14" s="2" customFormat="1" x14ac:dyDescent="0.3">
      <c r="A4" s="2" t="s">
        <v>6</v>
      </c>
      <c r="B4" s="1">
        <f>'Data Sheet'!B17</f>
        <v>33162</v>
      </c>
      <c r="C4" s="1">
        <f>'Data Sheet'!C17</f>
        <v>35545</v>
      </c>
      <c r="D4" s="1">
        <f>'Data Sheet'!D17</f>
        <v>39310</v>
      </c>
      <c r="E4" s="1">
        <f>'Data Sheet'!E17</f>
        <v>39783</v>
      </c>
      <c r="F4" s="1">
        <f>'Data Sheet'!F17</f>
        <v>47028</v>
      </c>
      <c r="G4" s="1">
        <f>'Data Sheet'!G17</f>
        <v>52446</v>
      </c>
      <c r="H4" s="1">
        <f>'Data Sheet'!H17</f>
        <v>60580</v>
      </c>
      <c r="I4" s="1">
        <f>'Data Sheet'!I17</f>
        <v>61896</v>
      </c>
      <c r="J4" s="1">
        <f>'Data Sheet'!J17</f>
        <v>61328</v>
      </c>
      <c r="K4" s="1">
        <f>'Data Sheet'!K17</f>
        <v>64468</v>
      </c>
      <c r="L4" s="1">
        <f>SUM(Quarters!H4:K4)</f>
        <v>66052</v>
      </c>
      <c r="M4" s="1">
        <f>$K4+M23*K4</f>
        <v>67768.768327680664</v>
      </c>
      <c r="N4" s="1">
        <f>$K4+N23*L4</f>
        <v>65851.867443499083</v>
      </c>
    </row>
    <row r="5" spans="1:14" x14ac:dyDescent="0.3">
      <c r="A5" t="s">
        <v>7</v>
      </c>
      <c r="B5" s="6">
        <f>SUM('Data Sheet'!B18,'Data Sheet'!B20:B24, -1*'Data Sheet'!B19)</f>
        <v>26834</v>
      </c>
      <c r="C5" s="6">
        <f>SUM('Data Sheet'!C18,'Data Sheet'!C20:C24, -1*'Data Sheet'!C19)</f>
        <v>28046</v>
      </c>
      <c r="D5" s="6">
        <f>SUM('Data Sheet'!D18,'Data Sheet'!D20:D24, -1*'Data Sheet'!D19)</f>
        <v>30430</v>
      </c>
      <c r="E5" s="6">
        <f>SUM('Data Sheet'!E18,'Data Sheet'!E20:E24, -1*'Data Sheet'!E19)</f>
        <v>29922</v>
      </c>
      <c r="F5" s="6">
        <f>SUM('Data Sheet'!F18,'Data Sheet'!F20:F24, -1*'Data Sheet'!F19)</f>
        <v>35402</v>
      </c>
      <c r="G5" s="6">
        <f>SUM('Data Sheet'!G18,'Data Sheet'!G20:G24, -1*'Data Sheet'!G19)</f>
        <v>39589</v>
      </c>
      <c r="H5" s="6">
        <f>SUM('Data Sheet'!H18,'Data Sheet'!H20:H24, -1*'Data Sheet'!H19)</f>
        <v>46433</v>
      </c>
      <c r="I5" s="6">
        <f>SUM('Data Sheet'!I18,'Data Sheet'!I20:I24, -1*'Data Sheet'!I19)</f>
        <v>47237</v>
      </c>
      <c r="J5" s="6">
        <f>SUM('Data Sheet'!J18,'Data Sheet'!J20:J24, -1*'Data Sheet'!J19)</f>
        <v>46630</v>
      </c>
      <c r="K5" s="6">
        <f>SUM('Data Sheet'!K18,'Data Sheet'!K20:K24, -1*'Data Sheet'!K19)</f>
        <v>49429</v>
      </c>
      <c r="L5" s="6">
        <f>SUM(Quarters!H5:K5)</f>
        <v>50705</v>
      </c>
      <c r="M5" s="6">
        <f t="shared" ref="M5:N5" si="0">M4-M6</f>
        <v>51738.984220336126</v>
      </c>
      <c r="N5" s="6">
        <f t="shared" si="0"/>
        <v>50551.367690949875</v>
      </c>
    </row>
    <row r="6" spans="1:14" s="2" customFormat="1" x14ac:dyDescent="0.3">
      <c r="A6" s="2" t="s">
        <v>8</v>
      </c>
      <c r="B6" s="1">
        <f>B4-B5</f>
        <v>6328</v>
      </c>
      <c r="C6" s="1">
        <f t="shared" ref="C6:K6" si="1">C4-C5</f>
        <v>7499</v>
      </c>
      <c r="D6" s="1">
        <f t="shared" si="1"/>
        <v>8880</v>
      </c>
      <c r="E6" s="1">
        <f t="shared" si="1"/>
        <v>9861</v>
      </c>
      <c r="F6" s="1">
        <f t="shared" si="1"/>
        <v>11626</v>
      </c>
      <c r="G6" s="1">
        <f t="shared" si="1"/>
        <v>12857</v>
      </c>
      <c r="H6" s="1">
        <f t="shared" si="1"/>
        <v>14147</v>
      </c>
      <c r="I6" s="1">
        <f t="shared" si="1"/>
        <v>14659</v>
      </c>
      <c r="J6" s="1">
        <f t="shared" si="1"/>
        <v>14698</v>
      </c>
      <c r="K6" s="1">
        <f t="shared" si="1"/>
        <v>15039</v>
      </c>
      <c r="L6" s="1">
        <f>SUM(Quarters!H6:K6)</f>
        <v>15347</v>
      </c>
      <c r="M6" s="1">
        <f>M4*M24</f>
        <v>16029.784107344536</v>
      </c>
      <c r="N6" s="1">
        <f>N4*N24</f>
        <v>15300.499752549209</v>
      </c>
    </row>
    <row r="7" spans="1:14" x14ac:dyDescent="0.3">
      <c r="A7" t="s">
        <v>9</v>
      </c>
      <c r="B7" s="6">
        <f>'Data Sheet'!B25</f>
        <v>606</v>
      </c>
      <c r="C7" s="6">
        <f>'Data Sheet'!C25</f>
        <v>353</v>
      </c>
      <c r="D7" s="6">
        <f>'Data Sheet'!D25</f>
        <v>322</v>
      </c>
      <c r="E7" s="6">
        <f>'Data Sheet'!E25</f>
        <v>424</v>
      </c>
      <c r="F7" s="6">
        <f>'Data Sheet'!F25</f>
        <v>170</v>
      </c>
      <c r="G7" s="6">
        <f>'Data Sheet'!G25</f>
        <v>219</v>
      </c>
      <c r="H7" s="6">
        <f>'Data Sheet'!H25</f>
        <v>448</v>
      </c>
      <c r="I7" s="6">
        <f>'Data Sheet'!I25</f>
        <v>817</v>
      </c>
      <c r="J7" s="6">
        <f>'Data Sheet'!J25</f>
        <v>1355</v>
      </c>
      <c r="K7" s="6">
        <f>'Data Sheet'!K25</f>
        <v>4923</v>
      </c>
      <c r="L7" s="6">
        <f>SUM(Quarters!H7:K7)</f>
        <v>4933</v>
      </c>
      <c r="M7" s="6">
        <v>0</v>
      </c>
      <c r="N7" s="6">
        <v>0</v>
      </c>
    </row>
    <row r="8" spans="1:14" x14ac:dyDescent="0.3">
      <c r="A8" t="s">
        <v>10</v>
      </c>
      <c r="B8" s="6">
        <f>'Data Sheet'!B26</f>
        <v>432</v>
      </c>
      <c r="C8" s="6">
        <f>'Data Sheet'!C26</f>
        <v>520</v>
      </c>
      <c r="D8" s="6">
        <f>'Data Sheet'!D26</f>
        <v>565</v>
      </c>
      <c r="E8" s="6">
        <f>'Data Sheet'!E26</f>
        <v>1002</v>
      </c>
      <c r="F8" s="6">
        <f>'Data Sheet'!F26</f>
        <v>1074</v>
      </c>
      <c r="G8" s="6">
        <f>'Data Sheet'!G26</f>
        <v>1091</v>
      </c>
      <c r="H8" s="6">
        <f>'Data Sheet'!H26</f>
        <v>1137</v>
      </c>
      <c r="I8" s="6">
        <f>'Data Sheet'!I26</f>
        <v>1216</v>
      </c>
      <c r="J8" s="6">
        <f>'Data Sheet'!J26</f>
        <v>1253</v>
      </c>
      <c r="K8" s="6">
        <f>'Data Sheet'!K26</f>
        <v>1333</v>
      </c>
      <c r="L8" s="6">
        <f>SUM(Quarters!H8:K8)</f>
        <v>1360</v>
      </c>
      <c r="M8" s="6">
        <f>+$L8</f>
        <v>1360</v>
      </c>
      <c r="N8" s="6">
        <f>+$L8</f>
        <v>1360</v>
      </c>
    </row>
    <row r="9" spans="1:14" x14ac:dyDescent="0.3">
      <c r="A9" t="s">
        <v>11</v>
      </c>
      <c r="B9" s="6">
        <f>'Data Sheet'!B27</f>
        <v>35</v>
      </c>
      <c r="C9" s="6">
        <f>'Data Sheet'!C27</f>
        <v>26</v>
      </c>
      <c r="D9" s="6">
        <f>'Data Sheet'!D27</f>
        <v>33</v>
      </c>
      <c r="E9" s="6">
        <f>'Data Sheet'!E27</f>
        <v>118</v>
      </c>
      <c r="F9" s="6">
        <f>'Data Sheet'!F27</f>
        <v>117</v>
      </c>
      <c r="G9" s="6">
        <f>'Data Sheet'!G27</f>
        <v>106</v>
      </c>
      <c r="H9" s="6">
        <f>'Data Sheet'!H27</f>
        <v>114</v>
      </c>
      <c r="I9" s="6">
        <f>'Data Sheet'!I27</f>
        <v>334</v>
      </c>
      <c r="J9" s="6">
        <f>'Data Sheet'!J27</f>
        <v>381</v>
      </c>
      <c r="K9" s="6">
        <f>'Data Sheet'!K27</f>
        <v>410</v>
      </c>
      <c r="L9" s="6">
        <f>SUM(Quarters!H9:K9)</f>
        <v>363</v>
      </c>
      <c r="M9" s="6">
        <f>+$L9</f>
        <v>363</v>
      </c>
      <c r="N9" s="6">
        <f>+$L9</f>
        <v>363</v>
      </c>
    </row>
    <row r="10" spans="1:14" x14ac:dyDescent="0.3">
      <c r="A10" t="s">
        <v>12</v>
      </c>
      <c r="B10" s="6">
        <f>'Data Sheet'!B28</f>
        <v>6467</v>
      </c>
      <c r="C10" s="6">
        <f>'Data Sheet'!C28</f>
        <v>7306</v>
      </c>
      <c r="D10" s="6">
        <f>'Data Sheet'!D28</f>
        <v>8604</v>
      </c>
      <c r="E10" s="6">
        <f>'Data Sheet'!E28</f>
        <v>9165</v>
      </c>
      <c r="F10" s="6">
        <f>'Data Sheet'!F28</f>
        <v>10605</v>
      </c>
      <c r="G10" s="6">
        <f>'Data Sheet'!G28</f>
        <v>11879</v>
      </c>
      <c r="H10" s="6">
        <f>'Data Sheet'!H28</f>
        <v>13344</v>
      </c>
      <c r="I10" s="6">
        <f>'Data Sheet'!I28</f>
        <v>13926</v>
      </c>
      <c r="J10" s="6">
        <f>'Data Sheet'!J28</f>
        <v>14419</v>
      </c>
      <c r="K10" s="6">
        <f>'Data Sheet'!K28</f>
        <v>18219</v>
      </c>
      <c r="L10" s="6">
        <f>SUM(Quarters!H10:K10)</f>
        <v>18557</v>
      </c>
      <c r="M10" s="6">
        <f>M6+M7-SUM(M8:M9)</f>
        <v>14306.784107344536</v>
      </c>
      <c r="N10" s="6">
        <f>N6+N7-SUM(N8:N9)</f>
        <v>13577.499752549209</v>
      </c>
    </row>
    <row r="11" spans="1:14" x14ac:dyDescent="0.3">
      <c r="A11" t="s">
        <v>13</v>
      </c>
      <c r="B11" s="6">
        <f>'Data Sheet'!B29</f>
        <v>1977</v>
      </c>
      <c r="C11" s="6">
        <f>'Data Sheet'!C29</f>
        <v>2079</v>
      </c>
      <c r="D11" s="6">
        <f>'Data Sheet'!D29</f>
        <v>2544</v>
      </c>
      <c r="E11" s="6">
        <f>'Data Sheet'!E29</f>
        <v>2409</v>
      </c>
      <c r="F11" s="6">
        <f>'Data Sheet'!F29</f>
        <v>2606</v>
      </c>
      <c r="G11" s="6">
        <f>'Data Sheet'!G29</f>
        <v>2987</v>
      </c>
      <c r="H11" s="6">
        <f>'Data Sheet'!H29</f>
        <v>3201</v>
      </c>
      <c r="I11" s="6">
        <f>'Data Sheet'!I29</f>
        <v>3644</v>
      </c>
      <c r="J11" s="6">
        <f>'Data Sheet'!J29</f>
        <v>3748</v>
      </c>
      <c r="K11" s="6">
        <f>'Data Sheet'!K29</f>
        <v>3160</v>
      </c>
      <c r="L11" s="6">
        <f>SUM(Quarters!H11:K11)</f>
        <v>3586</v>
      </c>
      <c r="M11" s="7">
        <f>IF($L10&gt;0,$L11/$L10,0)</f>
        <v>0.19324244220509781</v>
      </c>
      <c r="N11" s="7">
        <f>IF($L10&gt;0,$L11/$L10,0)</f>
        <v>0.19324244220509781</v>
      </c>
    </row>
    <row r="12" spans="1:14" s="2" customFormat="1" x14ac:dyDescent="0.3">
      <c r="A12" s="2" t="s">
        <v>14</v>
      </c>
      <c r="B12" s="1">
        <f>'Data Sheet'!B30</f>
        <v>4476</v>
      </c>
      <c r="C12" s="1">
        <f>'Data Sheet'!C30</f>
        <v>5214</v>
      </c>
      <c r="D12" s="1">
        <f>'Data Sheet'!D30</f>
        <v>6054</v>
      </c>
      <c r="E12" s="1">
        <f>'Data Sheet'!E30</f>
        <v>6748</v>
      </c>
      <c r="F12" s="1">
        <f>'Data Sheet'!F30</f>
        <v>7995</v>
      </c>
      <c r="G12" s="1">
        <f>'Data Sheet'!G30</f>
        <v>8879</v>
      </c>
      <c r="H12" s="1">
        <f>'Data Sheet'!H30</f>
        <v>10120</v>
      </c>
      <c r="I12" s="1">
        <f>'Data Sheet'!I30</f>
        <v>10277</v>
      </c>
      <c r="J12" s="1">
        <f>'Data Sheet'!J30</f>
        <v>10649</v>
      </c>
      <c r="K12" s="1">
        <f>'Data Sheet'!K30</f>
        <v>15040</v>
      </c>
      <c r="L12" s="1">
        <f>SUM(Quarters!H12:K12)</f>
        <v>14957</v>
      </c>
      <c r="M12" s="1">
        <f>M10-M11*M10</f>
        <v>11542.106206340199</v>
      </c>
      <c r="N12" s="1">
        <f>N10-N11*N10</f>
        <v>10953.750541327488</v>
      </c>
    </row>
    <row r="13" spans="1:14" x14ac:dyDescent="0.3">
      <c r="A13" t="s">
        <v>48</v>
      </c>
      <c r="B13" s="6">
        <f>IF('Data Sheet'!B93&gt;0,B12/'Data Sheet'!B93,0)</f>
        <v>20.681051610220393</v>
      </c>
      <c r="C13" s="6">
        <f>IF('Data Sheet'!C93&gt;0,C12/'Data Sheet'!C93,0)</f>
        <v>24.088704088704091</v>
      </c>
      <c r="D13" s="6">
        <f>IF('Data Sheet'!D93&gt;0,D12/'Data Sheet'!D93,0)</f>
        <v>27.966923823162563</v>
      </c>
      <c r="E13" s="6">
        <f>IF('Data Sheet'!E93&gt;0,E12/'Data Sheet'!E93,0)</f>
        <v>31.171470805617147</v>
      </c>
      <c r="F13" s="6">
        <f>IF('Data Sheet'!F93&gt;0,F12/'Data Sheet'!F93,0)</f>
        <v>34.027068437180795</v>
      </c>
      <c r="G13" s="6">
        <f>IF('Data Sheet'!G93&gt;0,G12/'Data Sheet'!G93,0)</f>
        <v>37.789410963568265</v>
      </c>
      <c r="H13" s="6">
        <f>IF('Data Sheet'!H93&gt;0,H12/'Data Sheet'!H93,0)</f>
        <v>43.071161048689135</v>
      </c>
      <c r="I13" s="6">
        <f>IF('Data Sheet'!I93&gt;0,I12/'Data Sheet'!I93,0)</f>
        <v>43.739359891045282</v>
      </c>
      <c r="J13" s="6">
        <f>IF('Data Sheet'!J93&gt;0,J12/'Data Sheet'!J93,0)</f>
        <v>45.32260810350698</v>
      </c>
      <c r="K13" s="6">
        <f>IF('Data Sheet'!K93&gt;0,K12/'Data Sheet'!K93,0)</f>
        <v>64.010895471569626</v>
      </c>
      <c r="L13" s="6">
        <f>IF('Data Sheet'!$B6&gt;0,'Profit &amp; Loss'!L12/'Data Sheet'!$B6,0)</f>
        <v>63.662410500247987</v>
      </c>
      <c r="M13" s="6">
        <f>IF('Data Sheet'!$B6&gt;0,'Profit &amp; Loss'!M12/'Data Sheet'!$B6,0)</f>
        <v>49.127385394496869</v>
      </c>
      <c r="N13" s="6">
        <f>IF('Data Sheet'!$B6&gt;0,'Profit &amp; Loss'!N12/'Data Sheet'!$B6,0)</f>
        <v>46.623130539500181</v>
      </c>
    </row>
    <row r="14" spans="1:14" x14ac:dyDescent="0.3">
      <c r="A14" t="s">
        <v>16</v>
      </c>
      <c r="B14" s="6">
        <f>IF(B15&gt;0,B15/B13,"")</f>
        <v>42.193695777479896</v>
      </c>
      <c r="C14" s="6">
        <f t="shared" ref="C14:K14" si="2">IF(C15&gt;0,C15/C13,"")</f>
        <v>52.975452531645558</v>
      </c>
      <c r="D14" s="6">
        <f t="shared" si="2"/>
        <v>58.409355649157582</v>
      </c>
      <c r="E14" s="6">
        <f t="shared" si="2"/>
        <v>70.571902548903381</v>
      </c>
      <c r="F14" s="6">
        <f t="shared" si="2"/>
        <v>68.390258311444654</v>
      </c>
      <c r="G14" s="6">
        <f t="shared" si="2"/>
        <v>51.88490505687578</v>
      </c>
      <c r="H14" s="6">
        <f t="shared" si="2"/>
        <v>56.892824347826092</v>
      </c>
      <c r="I14" s="6">
        <f t="shared" si="2"/>
        <v>49.546678447017612</v>
      </c>
      <c r="J14" s="6">
        <f t="shared" si="2"/>
        <v>47.699814517795097</v>
      </c>
      <c r="K14" s="6">
        <f t="shared" si="2"/>
        <v>32.107034042553188</v>
      </c>
      <c r="L14" s="6">
        <f t="shared" ref="L14" si="3">IF(L13&gt;0,L15/L13,0)</f>
        <v>32.99906465200241</v>
      </c>
      <c r="M14" s="6">
        <f>M25</f>
        <v>40.588147914842075</v>
      </c>
      <c r="N14" s="6">
        <f>N25</f>
        <v>32.99906465200241</v>
      </c>
    </row>
    <row r="15" spans="1:14" s="2" customFormat="1" x14ac:dyDescent="0.3">
      <c r="A15" s="2" t="s">
        <v>49</v>
      </c>
      <c r="B15" s="1">
        <f>'Data Sheet'!B90</f>
        <v>872.61</v>
      </c>
      <c r="C15" s="1">
        <f>'Data Sheet'!C90</f>
        <v>1276.1099999999999</v>
      </c>
      <c r="D15" s="1">
        <f>'Data Sheet'!D90</f>
        <v>1633.53</v>
      </c>
      <c r="E15" s="1">
        <f>'Data Sheet'!E90</f>
        <v>2199.83</v>
      </c>
      <c r="F15" s="1">
        <f>'Data Sheet'!F90</f>
        <v>2327.12</v>
      </c>
      <c r="G15" s="1">
        <f>'Data Sheet'!G90</f>
        <v>1960.7</v>
      </c>
      <c r="H15" s="1">
        <f>'Data Sheet'!H90</f>
        <v>2450.44</v>
      </c>
      <c r="I15" s="1">
        <f>'Data Sheet'!I90</f>
        <v>2167.14</v>
      </c>
      <c r="J15" s="1">
        <f>'Data Sheet'!J90</f>
        <v>2161.88</v>
      </c>
      <c r="K15" s="1">
        <f>'Data Sheet'!K90</f>
        <v>2055.1999999999998</v>
      </c>
      <c r="L15" s="1">
        <f>'Data Sheet'!B8</f>
        <v>2100.8000000000002</v>
      </c>
      <c r="M15" s="8" t="s">
        <v>81</v>
      </c>
      <c r="N15" s="9">
        <f>N13*N14</f>
        <v>1538.5196989517144</v>
      </c>
    </row>
    <row r="17" spans="1:14" s="2" customFormat="1" x14ac:dyDescent="0.3">
      <c r="A17" s="2" t="s">
        <v>15</v>
      </c>
    </row>
    <row r="18" spans="1:14" x14ac:dyDescent="0.3">
      <c r="A18" t="s">
        <v>17</v>
      </c>
      <c r="B18" s="5">
        <f>IF('Data Sheet'!B30&gt;0, 'Data Sheet'!B31/'Data Sheet'!B30, 0)</f>
        <v>0.82037533512064342</v>
      </c>
      <c r="C18" s="5">
        <f>IF('Data Sheet'!C30&gt;0, 'Data Sheet'!C31/'Data Sheet'!C30, 0)</f>
        <v>0.8285385500575374</v>
      </c>
      <c r="D18" s="5">
        <f>IF('Data Sheet'!D30&gt;0, 'Data Sheet'!D31/'Data Sheet'!D30, 0)</f>
        <v>0.78493557978196238</v>
      </c>
      <c r="E18" s="5">
        <f>IF('Data Sheet'!E30&gt;0, 'Data Sheet'!E31/'Data Sheet'!E30, 0)</f>
        <v>0.80023710729104924</v>
      </c>
      <c r="F18" s="5">
        <f>IF('Data Sheet'!F30&gt;0, 'Data Sheet'!F31/'Data Sheet'!F30, 0)</f>
        <v>1.1904315196998123</v>
      </c>
      <c r="G18" s="5">
        <f>IF('Data Sheet'!G30&gt;0, 'Data Sheet'!G31/'Data Sheet'!G30, 0)</f>
        <v>0.89987611217479446</v>
      </c>
      <c r="H18" s="5">
        <f>IF('Data Sheet'!H30&gt;0, 'Data Sheet'!H31/'Data Sheet'!H30, 0)</f>
        <v>0.90563241106719372</v>
      </c>
      <c r="I18" s="5">
        <f>IF('Data Sheet'!I30&gt;0, 'Data Sheet'!I31/'Data Sheet'!I30, 0)</f>
        <v>0.96039700301644448</v>
      </c>
      <c r="J18" s="5">
        <f>IF('Data Sheet'!J30&gt;0, 'Data Sheet'!J31/'Data Sheet'!J30, 0)</f>
        <v>1.1695933890506152</v>
      </c>
      <c r="K18" s="5">
        <f>IF('Data Sheet'!K30&gt;0, 'Data Sheet'!K31/'Data Sheet'!K30, 0)</f>
        <v>0.640625</v>
      </c>
    </row>
    <row r="19" spans="1:14" x14ac:dyDescent="0.3">
      <c r="A19" t="s">
        <v>18</v>
      </c>
      <c r="B19" s="5">
        <f t="shared" ref="B19:L19" si="4">IF(B6&gt;0,B6/B4,0)</f>
        <v>0.1908208190097099</v>
      </c>
      <c r="C19" s="5">
        <f t="shared" ref="C19:K19" si="5">IF(C6&gt;0,C6/C4,0)</f>
        <v>0.21097200731467156</v>
      </c>
      <c r="D19" s="5">
        <f t="shared" si="5"/>
        <v>0.2258967183922666</v>
      </c>
      <c r="E19" s="5">
        <f t="shared" si="5"/>
        <v>0.24786969308498605</v>
      </c>
      <c r="F19" s="5">
        <f t="shared" si="5"/>
        <v>0.24721442544866887</v>
      </c>
      <c r="G19" s="5">
        <f t="shared" si="5"/>
        <v>0.24514738969606834</v>
      </c>
      <c r="H19" s="5">
        <f t="shared" si="5"/>
        <v>0.23352591614394189</v>
      </c>
      <c r="I19" s="5">
        <f t="shared" si="5"/>
        <v>0.23683275171255008</v>
      </c>
      <c r="J19" s="5">
        <f t="shared" si="5"/>
        <v>0.23966214453430734</v>
      </c>
      <c r="K19" s="5">
        <f t="shared" si="5"/>
        <v>0.23327852578023206</v>
      </c>
      <c r="L19" s="5">
        <f t="shared" si="4"/>
        <v>0.23234724156725003</v>
      </c>
    </row>
    <row r="20" spans="1:14" x14ac:dyDescent="0.3">
      <c r="B20" s="5"/>
      <c r="C20" s="5"/>
      <c r="D20" s="5"/>
      <c r="E20" s="5"/>
      <c r="F20" s="5"/>
      <c r="G20" s="5"/>
      <c r="H20" s="5"/>
      <c r="I20" s="5"/>
      <c r="J20" s="5"/>
      <c r="K20" s="5"/>
      <c r="L20" s="5"/>
    </row>
    <row r="21" spans="1:14" x14ac:dyDescent="0.3">
      <c r="B21" s="5"/>
      <c r="C21" s="5"/>
      <c r="D21" s="5"/>
      <c r="E21" s="5"/>
      <c r="F21" s="5"/>
      <c r="G21" s="5"/>
      <c r="H21" s="5"/>
      <c r="I21" s="5"/>
      <c r="J21" s="5"/>
      <c r="K21" s="5"/>
      <c r="L21" s="5"/>
    </row>
    <row r="22" spans="1:14" s="2" customFormat="1" x14ac:dyDescent="0.3">
      <c r="A22" s="11"/>
      <c r="B22" s="12"/>
      <c r="C22" s="12"/>
      <c r="D22" s="12"/>
      <c r="E22" s="12"/>
      <c r="F22" s="12"/>
      <c r="G22" s="12" t="s">
        <v>19</v>
      </c>
      <c r="H22" s="12" t="s">
        <v>56</v>
      </c>
      <c r="I22" s="12" t="s">
        <v>57</v>
      </c>
      <c r="J22" s="12" t="s">
        <v>58</v>
      </c>
      <c r="K22" s="12" t="s">
        <v>59</v>
      </c>
      <c r="L22" s="13" t="s">
        <v>60</v>
      </c>
      <c r="M22" s="13" t="s">
        <v>20</v>
      </c>
      <c r="N22" s="13" t="s">
        <v>21</v>
      </c>
    </row>
    <row r="23" spans="1:14" s="2" customFormat="1" x14ac:dyDescent="0.3">
      <c r="A23"/>
      <c r="B23"/>
      <c r="C23"/>
      <c r="D23"/>
      <c r="E23"/>
      <c r="F23"/>
      <c r="G23" t="s">
        <v>22</v>
      </c>
      <c r="H23" s="5">
        <f>IF(B4=0,"",POWER($K4/B4,1/9)-1)</f>
        <v>7.6658974207876929E-2</v>
      </c>
      <c r="I23" s="5">
        <f>IF(D4=0,"",POWER($K4/D4,1/7)-1)</f>
        <v>7.3227008221417922E-2</v>
      </c>
      <c r="J23" s="5">
        <f>IF(F4=0,"",POWER($K4/F4,1/5)-1)</f>
        <v>6.5117542409641516E-2</v>
      </c>
      <c r="K23" s="5">
        <f>IF(H4=0,"",POWER($K4/H4, 1/3)-1)</f>
        <v>2.0951181546343456E-2</v>
      </c>
      <c r="L23" s="5">
        <f>IF(ISERROR(MAX(IF(J4=0,"",(K4-J4)/J4),IF(K4=0,"",(L4-K4)/K4))),"",MAX(IF(J4=0,"",(K4-J4)/J4),IF(K4=0,"",(L4-K4)/K4)))</f>
        <v>5.1200104356900603E-2</v>
      </c>
      <c r="M23" s="16">
        <f>MAX(K23:L23)</f>
        <v>5.1200104356900603E-2</v>
      </c>
      <c r="N23" s="16">
        <f>MIN(H23:L23)</f>
        <v>2.0951181546343456E-2</v>
      </c>
    </row>
    <row r="24" spans="1:14" x14ac:dyDescent="0.3">
      <c r="G24" t="s">
        <v>18</v>
      </c>
      <c r="H24" s="5">
        <f>IF(SUM(B4:$K$4)=0,"",SUMPRODUCT(B19:$K$19,B4:$K$4)/SUM(B4:$K$4))</f>
        <v>0.23326593293054529</v>
      </c>
      <c r="I24" s="5">
        <f>IF(SUM(E4:$K$4)=0,"",SUMPRODUCT(E19:$K$19,E4:$K$4)/SUM(E4:$K$4))</f>
        <v>0.23969044897285108</v>
      </c>
      <c r="J24" s="5">
        <f>IF(SUM(G4:$K$4)=0,"",SUMPRODUCT(G19:$K$19,G4:$K$4)/SUM(G4:$K$4))</f>
        <v>0.23743174668626421</v>
      </c>
      <c r="K24" s="5">
        <f>IF(SUM(I4:$K$4)=0, "", SUMPRODUCT(I19:$K$19,I4:$K$4)/SUM(I4:$K$4))</f>
        <v>0.23653645333844808</v>
      </c>
      <c r="L24" s="5">
        <f>L19</f>
        <v>0.23234724156725003</v>
      </c>
      <c r="M24" s="16">
        <f>MAX(K24:L24)</f>
        <v>0.23653645333844808</v>
      </c>
      <c r="N24" s="16">
        <f>MIN(H24:L24)</f>
        <v>0.23234724156725003</v>
      </c>
    </row>
    <row r="25" spans="1:14" x14ac:dyDescent="0.3">
      <c r="G25" t="s">
        <v>23</v>
      </c>
      <c r="H25" s="6">
        <f>IF(ISERROR(AVERAGEIF(B14:$L14,"&gt;0")),"",AVERAGEIF(B14:$L14,"&gt;0"))</f>
        <v>51.242816898427378</v>
      </c>
      <c r="I25" s="6">
        <f>IF(ISERROR(AVERAGEIF(E14:$L14,"&gt;0")),"",AVERAGEIF(E14:$L14,"&gt;0"))</f>
        <v>51.261560240552278</v>
      </c>
      <c r="J25" s="6">
        <f>IF(ISERROR(AVERAGEIF(G14:$L14,"&gt;0")),"",AVERAGEIF(G14:$L14,"&gt;0"))</f>
        <v>45.188386844011696</v>
      </c>
      <c r="K25" s="6">
        <f>IF(ISERROR(AVERAGEIF(I14:$L14,"&gt;0")),"",AVERAGEIF(I14:$L14,"&gt;0"))</f>
        <v>40.588147914842075</v>
      </c>
      <c r="L25" s="6">
        <f>L14</f>
        <v>32.99906465200241</v>
      </c>
      <c r="M25" s="1">
        <f>MAX(K25:L25)</f>
        <v>40.588147914842075</v>
      </c>
      <c r="N25" s="1">
        <f>MIN(H25:L25)</f>
        <v>32.99906465200241</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808080"/>
    <pageSetUpPr fitToPage="1"/>
  </sheetPr>
  <dimension ref="A1:K24"/>
  <sheetViews>
    <sheetView showGridLines="0" zoomScale="125" workbookViewId="0">
      <pane xSplit="1" ySplit="3" topLeftCell="B6" activePane="bottomRight" state="frozen"/>
      <selection activeCell="C4" sqref="C4"/>
      <selection pane="topRight" activeCell="C4" sqref="C4"/>
      <selection pane="bottomLeft" activeCell="C4" sqref="C4"/>
      <selection pane="bottomRight" activeCell="C16" sqref="C16"/>
    </sheetView>
  </sheetViews>
  <sheetFormatPr defaultColWidth="8.6640625" defaultRowHeight="14.4" x14ac:dyDescent="0.3"/>
  <cols>
    <col min="1" max="1" width="22.6640625" bestFit="1" customWidth="1"/>
    <col min="2" max="2" width="13.44140625" customWidth="1"/>
    <col min="3" max="11" width="15.44140625" customWidth="1"/>
  </cols>
  <sheetData>
    <row r="1" spans="1:11" s="2" customFormat="1" x14ac:dyDescent="0.3">
      <c r="A1" s="2" t="str">
        <f>'Profit &amp; Loss'!A1</f>
        <v>HINDUSTAN UNILEVER LTD</v>
      </c>
      <c r="E1" t="str">
        <f>UPDATE</f>
        <v/>
      </c>
      <c r="G1"/>
      <c r="J1" s="2" t="s">
        <v>1</v>
      </c>
    </row>
    <row r="2" spans="1:11" x14ac:dyDescent="0.3">
      <c r="G2" s="2"/>
      <c r="H2" s="2"/>
    </row>
    <row r="3" spans="1:11" x14ac:dyDescent="0.3">
      <c r="A3" s="11" t="s">
        <v>2</v>
      </c>
      <c r="B3" s="12">
        <f>'Data Sheet'!B56</f>
        <v>42825</v>
      </c>
      <c r="C3" s="12">
        <f>'Data Sheet'!C56</f>
        <v>43190</v>
      </c>
      <c r="D3" s="12">
        <f>'Data Sheet'!D56</f>
        <v>43555</v>
      </c>
      <c r="E3" s="12">
        <f>'Data Sheet'!E56</f>
        <v>43921</v>
      </c>
      <c r="F3" s="12">
        <f>'Data Sheet'!F56</f>
        <v>44286</v>
      </c>
      <c r="G3" s="12">
        <f>'Data Sheet'!G56</f>
        <v>44651</v>
      </c>
      <c r="H3" s="12">
        <f>'Data Sheet'!H56</f>
        <v>45016</v>
      </c>
      <c r="I3" s="12">
        <f>'Data Sheet'!I56</f>
        <v>45382</v>
      </c>
      <c r="J3" s="12">
        <f>'Data Sheet'!J56</f>
        <v>45747</v>
      </c>
      <c r="K3" s="12">
        <f>'Data Sheet'!K56</f>
        <v>46112</v>
      </c>
    </row>
    <row r="4" spans="1:11" x14ac:dyDescent="0.3">
      <c r="A4" t="s">
        <v>24</v>
      </c>
      <c r="B4" s="14">
        <f>'Data Sheet'!B57</f>
        <v>216</v>
      </c>
      <c r="C4" s="14">
        <f>'Data Sheet'!C57</f>
        <v>216</v>
      </c>
      <c r="D4" s="14">
        <f>'Data Sheet'!D57</f>
        <v>216</v>
      </c>
      <c r="E4" s="14">
        <f>'Data Sheet'!E57</f>
        <v>216</v>
      </c>
      <c r="F4" s="14">
        <f>'Data Sheet'!F57</f>
        <v>235</v>
      </c>
      <c r="G4" s="14">
        <f>'Data Sheet'!G57</f>
        <v>235</v>
      </c>
      <c r="H4" s="14">
        <f>'Data Sheet'!H57</f>
        <v>235</v>
      </c>
      <c r="I4" s="14">
        <f>'Data Sheet'!I57</f>
        <v>235</v>
      </c>
      <c r="J4" s="14">
        <f>'Data Sheet'!J57</f>
        <v>235</v>
      </c>
      <c r="K4" s="14">
        <f>'Data Sheet'!K57</f>
        <v>235</v>
      </c>
    </row>
    <row r="5" spans="1:11" x14ac:dyDescent="0.3">
      <c r="A5" t="s">
        <v>25</v>
      </c>
      <c r="B5" s="14">
        <f>'Data Sheet'!B58</f>
        <v>6528</v>
      </c>
      <c r="C5" s="14">
        <f>'Data Sheet'!C58</f>
        <v>7065</v>
      </c>
      <c r="D5" s="14">
        <f>'Data Sheet'!D58</f>
        <v>7651</v>
      </c>
      <c r="E5" s="14">
        <f>'Data Sheet'!E58</f>
        <v>8013</v>
      </c>
      <c r="F5" s="14">
        <f>'Data Sheet'!F58</f>
        <v>47439</v>
      </c>
      <c r="G5" s="14">
        <f>'Data Sheet'!G58</f>
        <v>48826</v>
      </c>
      <c r="H5" s="14">
        <f>'Data Sheet'!H58</f>
        <v>50069</v>
      </c>
      <c r="I5" s="14">
        <f>'Data Sheet'!I58</f>
        <v>50983</v>
      </c>
      <c r="J5" s="14">
        <f>'Data Sheet'!J58</f>
        <v>49167</v>
      </c>
      <c r="K5" s="14">
        <f>'Data Sheet'!K58</f>
        <v>48504</v>
      </c>
    </row>
    <row r="6" spans="1:11" x14ac:dyDescent="0.3">
      <c r="A6" t="s">
        <v>62</v>
      </c>
      <c r="B6" s="14">
        <f>'Data Sheet'!B59</f>
        <v>277</v>
      </c>
      <c r="C6" s="14">
        <f>'Data Sheet'!C59</f>
        <v>0</v>
      </c>
      <c r="D6" s="14">
        <f>'Data Sheet'!D59</f>
        <v>99</v>
      </c>
      <c r="E6" s="14">
        <f>'Data Sheet'!E59</f>
        <v>0</v>
      </c>
      <c r="F6" s="14">
        <f>'Data Sheet'!F59</f>
        <v>0</v>
      </c>
      <c r="G6" s="14">
        <f>'Data Sheet'!G59</f>
        <v>1043</v>
      </c>
      <c r="H6" s="14">
        <f>'Data Sheet'!H59</f>
        <v>1219</v>
      </c>
      <c r="I6" s="14">
        <f>'Data Sheet'!I59</f>
        <v>1484</v>
      </c>
      <c r="J6" s="14">
        <f>'Data Sheet'!J59</f>
        <v>1648</v>
      </c>
      <c r="K6" s="14">
        <f>'Data Sheet'!K59</f>
        <v>1478</v>
      </c>
    </row>
    <row r="7" spans="1:11" x14ac:dyDescent="0.3">
      <c r="A7" t="s">
        <v>63</v>
      </c>
      <c r="B7" s="14">
        <f>'Data Sheet'!B60</f>
        <v>8685</v>
      </c>
      <c r="C7" s="14">
        <f>'Data Sheet'!C60</f>
        <v>10581</v>
      </c>
      <c r="D7" s="14">
        <f>'Data Sheet'!D60</f>
        <v>10663</v>
      </c>
      <c r="E7" s="14">
        <f>'Data Sheet'!E60</f>
        <v>11924</v>
      </c>
      <c r="F7" s="14">
        <f>'Data Sheet'!F60</f>
        <v>21066</v>
      </c>
      <c r="G7" s="14">
        <f>'Data Sheet'!G60</f>
        <v>20402</v>
      </c>
      <c r="H7" s="14">
        <f>'Data Sheet'!H60</f>
        <v>21554</v>
      </c>
      <c r="I7" s="14">
        <f>'Data Sheet'!I60</f>
        <v>25787</v>
      </c>
      <c r="J7" s="14">
        <f>'Data Sheet'!J60</f>
        <v>28813</v>
      </c>
      <c r="K7" s="14">
        <f>'Data Sheet'!K60</f>
        <v>29521</v>
      </c>
    </row>
    <row r="8" spans="1:11" s="2" customFormat="1" x14ac:dyDescent="0.3">
      <c r="A8" s="2" t="s">
        <v>26</v>
      </c>
      <c r="B8" s="15">
        <f>'Data Sheet'!B61</f>
        <v>15706</v>
      </c>
      <c r="C8" s="15">
        <f>'Data Sheet'!C61</f>
        <v>17862</v>
      </c>
      <c r="D8" s="15">
        <f>'Data Sheet'!D61</f>
        <v>18629</v>
      </c>
      <c r="E8" s="15">
        <f>'Data Sheet'!E61</f>
        <v>20153</v>
      </c>
      <c r="F8" s="15">
        <f>'Data Sheet'!F61</f>
        <v>68740</v>
      </c>
      <c r="G8" s="15">
        <f>'Data Sheet'!G61</f>
        <v>70506</v>
      </c>
      <c r="H8" s="15">
        <f>'Data Sheet'!H61</f>
        <v>73077</v>
      </c>
      <c r="I8" s="15">
        <f>'Data Sheet'!I61</f>
        <v>78489</v>
      </c>
      <c r="J8" s="15">
        <f>'Data Sheet'!J61</f>
        <v>79863</v>
      </c>
      <c r="K8" s="15">
        <f>'Data Sheet'!K61</f>
        <v>79738</v>
      </c>
    </row>
    <row r="9" spans="1:11" s="2" customFormat="1" x14ac:dyDescent="0.3">
      <c r="B9" s="15"/>
      <c r="C9" s="15"/>
      <c r="D9" s="15"/>
      <c r="E9" s="15"/>
      <c r="F9" s="15"/>
      <c r="G9" s="15"/>
      <c r="H9" s="15"/>
      <c r="I9" s="15"/>
      <c r="J9" s="15"/>
      <c r="K9" s="15"/>
    </row>
    <row r="10" spans="1:11" x14ac:dyDescent="0.3">
      <c r="A10" t="s">
        <v>27</v>
      </c>
      <c r="B10" s="14">
        <f>'Data Sheet'!B62</f>
        <v>4419</v>
      </c>
      <c r="C10" s="14">
        <f>'Data Sheet'!C62</f>
        <v>4528</v>
      </c>
      <c r="D10" s="14">
        <f>'Data Sheet'!D62</f>
        <v>4715</v>
      </c>
      <c r="E10" s="14">
        <f>'Data Sheet'!E62</f>
        <v>5479</v>
      </c>
      <c r="F10" s="14">
        <f>'Data Sheet'!F62</f>
        <v>51443</v>
      </c>
      <c r="G10" s="14">
        <f>'Data Sheet'!G62</f>
        <v>51473</v>
      </c>
      <c r="H10" s="14">
        <f>'Data Sheet'!H62</f>
        <v>52678</v>
      </c>
      <c r="I10" s="14">
        <f>'Data Sheet'!I62</f>
        <v>53744</v>
      </c>
      <c r="J10" s="14">
        <f>'Data Sheet'!J62</f>
        <v>54335</v>
      </c>
      <c r="K10" s="14">
        <f>'Data Sheet'!K62</f>
        <v>57428</v>
      </c>
    </row>
    <row r="11" spans="1:11" x14ac:dyDescent="0.3">
      <c r="A11" t="s">
        <v>28</v>
      </c>
      <c r="B11" s="14">
        <f>'Data Sheet'!B63</f>
        <v>229</v>
      </c>
      <c r="C11" s="14">
        <f>'Data Sheet'!C63</f>
        <v>461</v>
      </c>
      <c r="D11" s="14">
        <f>'Data Sheet'!D63</f>
        <v>406</v>
      </c>
      <c r="E11" s="14">
        <f>'Data Sheet'!E63</f>
        <v>597</v>
      </c>
      <c r="F11" s="14">
        <f>'Data Sheet'!F63</f>
        <v>745</v>
      </c>
      <c r="G11" s="14">
        <f>'Data Sheet'!G63</f>
        <v>1313</v>
      </c>
      <c r="H11" s="14">
        <f>'Data Sheet'!H63</f>
        <v>1132</v>
      </c>
      <c r="I11" s="14">
        <f>'Data Sheet'!I63</f>
        <v>1025</v>
      </c>
      <c r="J11" s="14">
        <f>'Data Sheet'!J63</f>
        <v>1009</v>
      </c>
      <c r="K11" s="14">
        <f>'Data Sheet'!K63</f>
        <v>880</v>
      </c>
    </row>
    <row r="12" spans="1:11" x14ac:dyDescent="0.3">
      <c r="A12" t="s">
        <v>29</v>
      </c>
      <c r="B12" s="14">
        <f>'Data Sheet'!B64</f>
        <v>3794</v>
      </c>
      <c r="C12" s="14">
        <f>'Data Sheet'!C64</f>
        <v>2873</v>
      </c>
      <c r="D12" s="14">
        <f>'Data Sheet'!D64</f>
        <v>2716</v>
      </c>
      <c r="E12" s="14">
        <f>'Data Sheet'!E64</f>
        <v>1255</v>
      </c>
      <c r="F12" s="14">
        <f>'Data Sheet'!F64</f>
        <v>2709</v>
      </c>
      <c r="G12" s="14">
        <f>'Data Sheet'!G64</f>
        <v>3521</v>
      </c>
      <c r="H12" s="14">
        <f>'Data Sheet'!H64</f>
        <v>2882</v>
      </c>
      <c r="I12" s="14">
        <f>'Data Sheet'!I64</f>
        <v>4625</v>
      </c>
      <c r="J12" s="14">
        <f>'Data Sheet'!J64</f>
        <v>3810</v>
      </c>
      <c r="K12" s="14">
        <f>'Data Sheet'!K64</f>
        <v>4359</v>
      </c>
    </row>
    <row r="13" spans="1:11" x14ac:dyDescent="0.3">
      <c r="A13" t="s">
        <v>64</v>
      </c>
      <c r="B13" s="14">
        <f>'Data Sheet'!B65</f>
        <v>7264</v>
      </c>
      <c r="C13" s="14">
        <f>'Data Sheet'!C65</f>
        <v>10000</v>
      </c>
      <c r="D13" s="14">
        <f>'Data Sheet'!D65</f>
        <v>10792</v>
      </c>
      <c r="E13" s="14">
        <f>'Data Sheet'!E65</f>
        <v>12822</v>
      </c>
      <c r="F13" s="14">
        <f>'Data Sheet'!F65</f>
        <v>13843</v>
      </c>
      <c r="G13" s="14">
        <f>'Data Sheet'!G65</f>
        <v>14199</v>
      </c>
      <c r="H13" s="14">
        <f>'Data Sheet'!H65</f>
        <v>16385</v>
      </c>
      <c r="I13" s="14">
        <f>'Data Sheet'!I65</f>
        <v>19095</v>
      </c>
      <c r="J13" s="14">
        <f>'Data Sheet'!J65</f>
        <v>20709</v>
      </c>
      <c r="K13" s="14">
        <f>'Data Sheet'!K65</f>
        <v>17071</v>
      </c>
    </row>
    <row r="14" spans="1:11" s="2" customFormat="1" x14ac:dyDescent="0.3">
      <c r="A14" s="2" t="s">
        <v>26</v>
      </c>
      <c r="B14" s="14">
        <f>'Data Sheet'!B66</f>
        <v>15706</v>
      </c>
      <c r="C14" s="14">
        <f>'Data Sheet'!C66</f>
        <v>17862</v>
      </c>
      <c r="D14" s="14">
        <f>'Data Sheet'!D66</f>
        <v>18629</v>
      </c>
      <c r="E14" s="14">
        <f>'Data Sheet'!E66</f>
        <v>20153</v>
      </c>
      <c r="F14" s="14">
        <f>'Data Sheet'!F66</f>
        <v>68740</v>
      </c>
      <c r="G14" s="14">
        <f>'Data Sheet'!G66</f>
        <v>70506</v>
      </c>
      <c r="H14" s="14">
        <f>'Data Sheet'!H66</f>
        <v>73077</v>
      </c>
      <c r="I14" s="14">
        <f>'Data Sheet'!I66</f>
        <v>78489</v>
      </c>
      <c r="J14" s="14">
        <f>'Data Sheet'!J66</f>
        <v>79863</v>
      </c>
      <c r="K14" s="14">
        <f>'Data Sheet'!K66</f>
        <v>79738</v>
      </c>
    </row>
    <row r="15" spans="1:11" x14ac:dyDescent="0.3">
      <c r="B15" s="4"/>
      <c r="C15" s="4"/>
      <c r="D15" s="4"/>
      <c r="E15" s="4"/>
      <c r="F15" s="4"/>
      <c r="G15" s="4"/>
      <c r="H15" s="4"/>
      <c r="I15" s="4"/>
      <c r="J15" s="4"/>
      <c r="K15" s="4"/>
    </row>
    <row r="16" spans="1:11" x14ac:dyDescent="0.3">
      <c r="A16" t="s">
        <v>30</v>
      </c>
      <c r="B16" s="4">
        <f>B13-B7</f>
        <v>-1421</v>
      </c>
      <c r="C16" s="4">
        <f t="shared" ref="C16:K16" si="0">C13-C7</f>
        <v>-581</v>
      </c>
      <c r="D16" s="4">
        <f t="shared" si="0"/>
        <v>129</v>
      </c>
      <c r="E16" s="4">
        <f t="shared" si="0"/>
        <v>898</v>
      </c>
      <c r="F16" s="4">
        <f t="shared" si="0"/>
        <v>-7223</v>
      </c>
      <c r="G16" s="4">
        <f t="shared" si="0"/>
        <v>-6203</v>
      </c>
      <c r="H16" s="4">
        <f t="shared" si="0"/>
        <v>-5169</v>
      </c>
      <c r="I16" s="4">
        <f t="shared" si="0"/>
        <v>-6692</v>
      </c>
      <c r="J16" s="4">
        <f t="shared" si="0"/>
        <v>-8104</v>
      </c>
      <c r="K16" s="4">
        <f t="shared" si="0"/>
        <v>-12450</v>
      </c>
    </row>
    <row r="17" spans="1:11" x14ac:dyDescent="0.3">
      <c r="A17" t="s">
        <v>44</v>
      </c>
      <c r="B17" s="4">
        <f>'Data Sheet'!B67</f>
        <v>1085</v>
      </c>
      <c r="C17" s="4">
        <f>'Data Sheet'!C67</f>
        <v>1310</v>
      </c>
      <c r="D17" s="4">
        <f>'Data Sheet'!D67</f>
        <v>1816</v>
      </c>
      <c r="E17" s="4">
        <f>'Data Sheet'!E67</f>
        <v>1149</v>
      </c>
      <c r="F17" s="4">
        <f>'Data Sheet'!F67</f>
        <v>1758</v>
      </c>
      <c r="G17" s="4">
        <f>'Data Sheet'!G67</f>
        <v>2236</v>
      </c>
      <c r="H17" s="4">
        <f>'Data Sheet'!H67</f>
        <v>3079</v>
      </c>
      <c r="I17" s="4">
        <f>'Data Sheet'!I67</f>
        <v>2997</v>
      </c>
      <c r="J17" s="4">
        <f>'Data Sheet'!J67</f>
        <v>3819</v>
      </c>
      <c r="K17" s="4">
        <f>'Data Sheet'!K67</f>
        <v>3379</v>
      </c>
    </row>
    <row r="18" spans="1:11" x14ac:dyDescent="0.3">
      <c r="A18" t="s">
        <v>45</v>
      </c>
      <c r="B18" s="4">
        <f>'Data Sheet'!B68</f>
        <v>2541</v>
      </c>
      <c r="C18" s="4">
        <f>'Data Sheet'!C68</f>
        <v>2513</v>
      </c>
      <c r="D18" s="4">
        <f>'Data Sheet'!D68</f>
        <v>2574</v>
      </c>
      <c r="E18" s="4">
        <f>'Data Sheet'!E68</f>
        <v>2767</v>
      </c>
      <c r="F18" s="4">
        <f>'Data Sheet'!F68</f>
        <v>3579</v>
      </c>
      <c r="G18" s="4">
        <f>'Data Sheet'!G68</f>
        <v>4096</v>
      </c>
      <c r="H18" s="4">
        <f>'Data Sheet'!H68</f>
        <v>4251</v>
      </c>
      <c r="I18" s="4">
        <f>'Data Sheet'!I68</f>
        <v>4022</v>
      </c>
      <c r="J18" s="4">
        <f>'Data Sheet'!J68</f>
        <v>4415</v>
      </c>
      <c r="K18" s="4">
        <f>'Data Sheet'!K68</f>
        <v>4789</v>
      </c>
    </row>
    <row r="20" spans="1:11" x14ac:dyDescent="0.3">
      <c r="A20" t="s">
        <v>46</v>
      </c>
      <c r="B20" s="4">
        <f>IF('Profit &amp; Loss'!B4&gt;0,'Balance Sheet'!B17/('Profit &amp; Loss'!B4/365),0)</f>
        <v>11.942132561365419</v>
      </c>
      <c r="C20" s="4">
        <f>IF('Profit &amp; Loss'!C4&gt;0,'Balance Sheet'!C17/('Profit &amp; Loss'!C4/365),0)</f>
        <v>13.4519623013082</v>
      </c>
      <c r="D20" s="4">
        <f>IF('Profit &amp; Loss'!D4&gt;0,'Balance Sheet'!D17/('Profit &amp; Loss'!D4/365),0)</f>
        <v>16.861867209361485</v>
      </c>
      <c r="E20" s="4">
        <f>IF('Profit &amp; Loss'!E4&gt;0,'Balance Sheet'!E17/('Profit &amp; Loss'!E4/365),0)</f>
        <v>10.541814342809744</v>
      </c>
      <c r="F20" s="4">
        <f>IF('Profit &amp; Loss'!F4&gt;0,'Balance Sheet'!F17/('Profit &amp; Loss'!F4/365),0)</f>
        <v>13.644424598111764</v>
      </c>
      <c r="G20" s="4">
        <f>IF('Profit &amp; Loss'!G4&gt;0,'Balance Sheet'!G17/('Profit &amp; Loss'!G4/365),0)</f>
        <v>15.56152995461999</v>
      </c>
      <c r="H20" s="4">
        <f>IF('Profit &amp; Loss'!H4&gt;0,'Balance Sheet'!H17/('Profit &amp; Loss'!H4/365),0)</f>
        <v>18.551254539451964</v>
      </c>
      <c r="I20" s="4">
        <f>IF('Profit &amp; Loss'!I4&gt;0,'Balance Sheet'!I17/('Profit &amp; Loss'!I4/365),0)</f>
        <v>17.673274525009692</v>
      </c>
      <c r="J20" s="4">
        <f>IF('Profit &amp; Loss'!J4&gt;0,'Balance Sheet'!J17/('Profit &amp; Loss'!J4/365),0)</f>
        <v>22.729177537177147</v>
      </c>
      <c r="K20" s="4">
        <f>IF('Profit &amp; Loss'!K4&gt;0,'Balance Sheet'!K17/('Profit &amp; Loss'!K4/365),0)</f>
        <v>19.130964199292674</v>
      </c>
    </row>
    <row r="21" spans="1:11" x14ac:dyDescent="0.3">
      <c r="A21" t="s">
        <v>47</v>
      </c>
      <c r="B21" s="4">
        <f>IF('Balance Sheet'!B18&gt;0,'Profit &amp; Loss'!B4/'Balance Sheet'!B18,0)</f>
        <v>13.050767414403778</v>
      </c>
      <c r="C21" s="4">
        <f>IF('Balance Sheet'!C18&gt;0,'Profit &amp; Loss'!C4/'Balance Sheet'!C18,0)</f>
        <v>14.144448865897333</v>
      </c>
      <c r="D21" s="4">
        <f>IF('Balance Sheet'!D18&gt;0,'Profit &amp; Loss'!D4/'Balance Sheet'!D18,0)</f>
        <v>15.271950271950272</v>
      </c>
      <c r="E21" s="4">
        <f>IF('Balance Sheet'!E18&gt;0,'Profit &amp; Loss'!E4/'Balance Sheet'!E18,0)</f>
        <v>14.377665341525118</v>
      </c>
      <c r="F21" s="4">
        <f>IF('Balance Sheet'!F18&gt;0,'Profit &amp; Loss'!F4/'Balance Sheet'!F18,0)</f>
        <v>13.139983235540655</v>
      </c>
      <c r="G21" s="4">
        <f>IF('Balance Sheet'!G18&gt;0,'Profit &amp; Loss'!G4/'Balance Sheet'!G18,0)</f>
        <v>12.80419921875</v>
      </c>
      <c r="H21" s="4">
        <f>IF('Balance Sheet'!H18&gt;0,'Profit &amp; Loss'!H4/'Balance Sheet'!H18,0)</f>
        <v>14.250764525993883</v>
      </c>
      <c r="I21" s="4">
        <f>IF('Balance Sheet'!I18&gt;0,'Profit &amp; Loss'!I4/'Balance Sheet'!I18,0)</f>
        <v>15.389358528095475</v>
      </c>
      <c r="J21" s="4">
        <f>IF('Balance Sheet'!J18&gt;0,'Profit &amp; Loss'!J4/'Balance Sheet'!J18,0)</f>
        <v>13.890826727066818</v>
      </c>
      <c r="K21" s="4">
        <f>IF('Balance Sheet'!K18&gt;0,'Profit &amp; Loss'!K4/'Balance Sheet'!K18,0)</f>
        <v>13.461683023595739</v>
      </c>
    </row>
    <row r="23" spans="1:11" s="2" customFormat="1" x14ac:dyDescent="0.3">
      <c r="A23" s="2" t="s">
        <v>50</v>
      </c>
      <c r="B23" s="10">
        <f>IF(SUM('Balance Sheet'!B4:B5)&gt;0,'Profit &amp; Loss'!B12/SUM('Balance Sheet'!B4:B5),"")</f>
        <v>0.66370106761565839</v>
      </c>
      <c r="C23" s="10">
        <f>IF(SUM('Balance Sheet'!C4:C5)&gt;0,'Profit &amp; Loss'!C12/SUM('Balance Sheet'!C4:C5),"")</f>
        <v>0.71611042439225381</v>
      </c>
      <c r="D23" s="10">
        <f>IF(SUM('Balance Sheet'!D4:D5)&gt;0,'Profit &amp; Loss'!D12/SUM('Balance Sheet'!D4:D5),"")</f>
        <v>0.76954366340409308</v>
      </c>
      <c r="E23" s="10">
        <f>IF(SUM('Balance Sheet'!E4:E5)&gt;0,'Profit &amp; Loss'!E12/SUM('Balance Sheet'!E4:E5),"")</f>
        <v>0.82002673471867782</v>
      </c>
      <c r="F23" s="10">
        <f>IF(SUM('Balance Sheet'!F4:F5)&gt;0,'Profit &amp; Loss'!F12/SUM('Balance Sheet'!F4:F5),"")</f>
        <v>0.16770147250073414</v>
      </c>
      <c r="G23" s="10">
        <f>IF(SUM('Balance Sheet'!G4:G5)&gt;0,'Profit &amp; Loss'!G12/SUM('Balance Sheet'!G4:G5),"")</f>
        <v>0.18097878151688715</v>
      </c>
      <c r="H23" s="10">
        <f>IF(SUM('Balance Sheet'!H4:H5)&gt;0,'Profit &amp; Loss'!H12/SUM('Balance Sheet'!H4:H5),"")</f>
        <v>0.201176844783715</v>
      </c>
      <c r="I23" s="10">
        <f>IF(SUM('Balance Sheet'!I4:I5)&gt;0,'Profit &amp; Loss'!I12/SUM('Balance Sheet'!I4:I5),"")</f>
        <v>0.20065211449099926</v>
      </c>
      <c r="J23" s="10">
        <f>IF(SUM('Balance Sheet'!J4:J5)&gt;0,'Profit &amp; Loss'!J12/SUM('Balance Sheet'!J4:J5),"")</f>
        <v>0.21555807457187967</v>
      </c>
      <c r="K23" s="10">
        <f>IF(SUM('Balance Sheet'!K4:K5)&gt;0,'Profit &amp; Loss'!K12/SUM('Balance Sheet'!K4:K5),"")</f>
        <v>0.3085824493731919</v>
      </c>
    </row>
    <row r="24" spans="1:11" s="2" customFormat="1" x14ac:dyDescent="0.3">
      <c r="A24" s="2" t="s">
        <v>51</v>
      </c>
      <c r="B24" s="10"/>
      <c r="C24" s="10">
        <f>IF((B4+B5+B6+C4+C5+C6)&gt;0,('Profit &amp; Loss'!C10+'Profit &amp; Loss'!C9)*2/(B4+B5+B6+C4+C5+C6),"")</f>
        <v>1.0253111452943644</v>
      </c>
      <c r="D24" s="10">
        <f>IF((C4+C5+C6+D4+D5+D6)&gt;0,('Profit &amp; Loss'!D10+'Profit &amp; Loss'!D9)*2/(C4+C5+C6+D4+D5+D6),"")</f>
        <v>1.1329441857414573</v>
      </c>
      <c r="E24" s="10">
        <f>IF((D4+D5+D6+E4+E5+E6)&gt;0,('Profit &amp; Loss'!E10+'Profit &amp; Loss'!E9)*2/(D4+D5+D6+E4+E5+E6),"")</f>
        <v>1.1464032108675517</v>
      </c>
      <c r="F24" s="10">
        <f>IF((E4+E5+E6+F4+F5+F6)&gt;0,('Profit &amp; Loss'!F10+'Profit &amp; Loss'!F9)*2/(E4+E5+E6+F4+F5+F6),"")</f>
        <v>0.38359300931971452</v>
      </c>
      <c r="G24" s="10">
        <f>IF((F4+F5+F6+G4+G5+G6)&gt;0,('Profit &amp; Loss'!G10+'Profit &amp; Loss'!G9)*2/(F4+F5+F6+G4+G5+G6),"")</f>
        <v>0.2451471701200679</v>
      </c>
      <c r="H24" s="10">
        <f>IF((G4+G5+G6+H4+H5+H6)&gt;0,('Profit &amp; Loss'!H10+'Profit &amp; Loss'!H9)*2/(G4+G5+G6+H4+H5+H6),"")</f>
        <v>0.26485087624351794</v>
      </c>
      <c r="I24" s="10">
        <f>IF((H4+H5+H6+I4+I5+I6)&gt;0,('Profit &amp; Loss'!I10+'Profit &amp; Loss'!I9)*2/(H4+H5+H6+I4+I5+I6),"")</f>
        <v>0.27363876229311584</v>
      </c>
      <c r="J24" s="10">
        <f>IF((I4+I5+I6+J4+J5+J6)&gt;0,('Profit &amp; Loss'!J10+'Profit &amp; Loss'!J9)*2/(I4+I5+I6+J4+J5+J6),"")</f>
        <v>0.28529570514303337</v>
      </c>
      <c r="K24" s="10">
        <f>IF((J4+J5+J6+K4+K5+K6)&gt;0,('Profit &amp; Loss'!K10+'Profit &amp; Loss'!K9)*2/(J4+J5+J6+K4+K5+K6),"")</f>
        <v>0.36791847294775198</v>
      </c>
    </row>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808080"/>
    <pageSetUpPr fitToPage="1"/>
  </sheetPr>
  <dimension ref="A1:K8"/>
  <sheetViews>
    <sheetView showGridLines="0" zoomScale="150" zoomScaleNormal="150" zoomScalePageLayoutView="150" workbookViewId="0">
      <pane xSplit="1" ySplit="3" topLeftCell="B4" activePane="bottomRight" state="frozen"/>
      <selection pane="topRight" activeCell="B1" sqref="B1"/>
      <selection pane="bottomLeft" activeCell="A4" sqref="A4"/>
      <selection pane="bottomRight" activeCell="C3" sqref="C3"/>
    </sheetView>
  </sheetViews>
  <sheetFormatPr defaultColWidth="8.6640625" defaultRowHeight="14.4" x14ac:dyDescent="0.3"/>
  <cols>
    <col min="1" max="1" width="26.6640625" bestFit="1" customWidth="1"/>
    <col min="2" max="6" width="13.44140625" customWidth="1"/>
    <col min="7" max="11" width="13.44140625" bestFit="1" customWidth="1"/>
  </cols>
  <sheetData>
    <row r="1" spans="1:11" s="2" customFormat="1" x14ac:dyDescent="0.3">
      <c r="A1" s="2" t="str">
        <f>'Balance Sheet'!A1</f>
        <v>HINDUSTAN UNILEVER LTD</v>
      </c>
      <c r="E1" t="str">
        <f>UPDATE</f>
        <v/>
      </c>
      <c r="F1"/>
      <c r="J1" s="2" t="s">
        <v>1</v>
      </c>
    </row>
    <row r="3" spans="1:11" s="2" customFormat="1" x14ac:dyDescent="0.3">
      <c r="A3" s="11" t="s">
        <v>2</v>
      </c>
      <c r="B3" s="12">
        <f>'Data Sheet'!B81</f>
        <v>42825</v>
      </c>
      <c r="C3" s="12">
        <f>'Data Sheet'!C81</f>
        <v>43190</v>
      </c>
      <c r="D3" s="12">
        <f>'Data Sheet'!D81</f>
        <v>43555</v>
      </c>
      <c r="E3" s="12">
        <f>'Data Sheet'!E81</f>
        <v>43921</v>
      </c>
      <c r="F3" s="12">
        <f>'Data Sheet'!F81</f>
        <v>44286</v>
      </c>
      <c r="G3" s="12">
        <f>'Data Sheet'!G81</f>
        <v>44651</v>
      </c>
      <c r="H3" s="12">
        <f>'Data Sheet'!H81</f>
        <v>45016</v>
      </c>
      <c r="I3" s="12">
        <f>'Data Sheet'!I81</f>
        <v>45382</v>
      </c>
      <c r="J3" s="12">
        <f>'Data Sheet'!J81</f>
        <v>45747</v>
      </c>
      <c r="K3" s="12">
        <f>'Data Sheet'!K81</f>
        <v>46112</v>
      </c>
    </row>
    <row r="4" spans="1:11" s="2" customFormat="1" x14ac:dyDescent="0.3">
      <c r="A4" s="2" t="s">
        <v>32</v>
      </c>
      <c r="B4" s="1">
        <f>'Data Sheet'!B82</f>
        <v>5185</v>
      </c>
      <c r="C4" s="1">
        <f>'Data Sheet'!C82</f>
        <v>6059</v>
      </c>
      <c r="D4" s="1">
        <f>'Data Sheet'!D82</f>
        <v>5800</v>
      </c>
      <c r="E4" s="1">
        <f>'Data Sheet'!E82</f>
        <v>7623</v>
      </c>
      <c r="F4" s="1">
        <f>'Data Sheet'!F82</f>
        <v>9163</v>
      </c>
      <c r="G4" s="1">
        <f>'Data Sheet'!G82</f>
        <v>9048</v>
      </c>
      <c r="H4" s="1">
        <f>'Data Sheet'!H82</f>
        <v>9991</v>
      </c>
      <c r="I4" s="1">
        <f>'Data Sheet'!I82</f>
        <v>15469</v>
      </c>
      <c r="J4" s="1">
        <f>'Data Sheet'!J82</f>
        <v>11886</v>
      </c>
      <c r="K4" s="1">
        <f>'Data Sheet'!K82</f>
        <v>10999</v>
      </c>
    </row>
    <row r="5" spans="1:11" x14ac:dyDescent="0.3">
      <c r="A5" t="s">
        <v>33</v>
      </c>
      <c r="B5" s="6">
        <f>'Data Sheet'!B83</f>
        <v>-1173</v>
      </c>
      <c r="C5" s="6">
        <f>'Data Sheet'!C83</f>
        <v>-1063</v>
      </c>
      <c r="D5" s="6">
        <f>'Data Sheet'!D83</f>
        <v>-438</v>
      </c>
      <c r="E5" s="6">
        <f>'Data Sheet'!E83</f>
        <v>1791</v>
      </c>
      <c r="F5" s="6">
        <f>'Data Sheet'!F83</f>
        <v>-1228</v>
      </c>
      <c r="G5" s="6">
        <f>'Data Sheet'!G83</f>
        <v>-1728</v>
      </c>
      <c r="H5" s="6">
        <f>'Data Sheet'!H83</f>
        <v>-1484</v>
      </c>
      <c r="I5" s="6">
        <f>'Data Sheet'!I83</f>
        <v>-5324</v>
      </c>
      <c r="J5" s="6">
        <f>'Data Sheet'!J83</f>
        <v>6473</v>
      </c>
      <c r="K5" s="6">
        <f>'Data Sheet'!K83</f>
        <v>-3676</v>
      </c>
    </row>
    <row r="6" spans="1:11" x14ac:dyDescent="0.3">
      <c r="A6" t="s">
        <v>34</v>
      </c>
      <c r="B6" s="6">
        <f>'Data Sheet'!B84</f>
        <v>-4214</v>
      </c>
      <c r="C6" s="6">
        <f>'Data Sheet'!C84</f>
        <v>-4975</v>
      </c>
      <c r="D6" s="6">
        <f>'Data Sheet'!D84</f>
        <v>-5390</v>
      </c>
      <c r="E6" s="6">
        <f>'Data Sheet'!E84</f>
        <v>-6819</v>
      </c>
      <c r="F6" s="6">
        <f>'Data Sheet'!F84</f>
        <v>-9309</v>
      </c>
      <c r="G6" s="6">
        <f>'Data Sheet'!G84</f>
        <v>-8015</v>
      </c>
      <c r="H6" s="6">
        <f>'Data Sheet'!H84</f>
        <v>-8953</v>
      </c>
      <c r="I6" s="6">
        <f>'Data Sheet'!I84</f>
        <v>-10034</v>
      </c>
      <c r="J6" s="6">
        <f>'Data Sheet'!J84</f>
        <v>-13101</v>
      </c>
      <c r="K6" s="6">
        <f>'Data Sheet'!K84</f>
        <v>-10810</v>
      </c>
    </row>
    <row r="7" spans="1:11" s="2" customFormat="1" x14ac:dyDescent="0.3">
      <c r="A7" s="2" t="s">
        <v>35</v>
      </c>
      <c r="B7" s="1">
        <f>'Data Sheet'!B85</f>
        <v>-202</v>
      </c>
      <c r="C7" s="1">
        <f>'Data Sheet'!C85</f>
        <v>21</v>
      </c>
      <c r="D7" s="1">
        <f>'Data Sheet'!D85</f>
        <v>-28</v>
      </c>
      <c r="E7" s="1">
        <f>'Data Sheet'!E85</f>
        <v>2595</v>
      </c>
      <c r="F7" s="1">
        <f>'Data Sheet'!F85</f>
        <v>-1374</v>
      </c>
      <c r="G7" s="1">
        <f>'Data Sheet'!G85</f>
        <v>-695</v>
      </c>
      <c r="H7" s="1">
        <f>'Data Sheet'!H85</f>
        <v>-446</v>
      </c>
      <c r="I7" s="1">
        <f>'Data Sheet'!I85</f>
        <v>111</v>
      </c>
      <c r="J7" s="1">
        <f>'Data Sheet'!J85</f>
        <v>5258</v>
      </c>
      <c r="K7" s="1">
        <f>'Data Sheet'!K85</f>
        <v>-3487</v>
      </c>
    </row>
    <row r="8" spans="1:11" x14ac:dyDescent="0.3">
      <c r="B8" s="6"/>
      <c r="C8" s="6"/>
      <c r="D8" s="6"/>
      <c r="E8" s="6"/>
      <c r="F8" s="6"/>
      <c r="G8" s="6"/>
      <c r="H8" s="6"/>
      <c r="I8" s="6"/>
      <c r="J8" s="6"/>
      <c r="K8" s="6"/>
    </row>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4A077-D200-4408-A67E-806867989824}">
  <sheetPr>
    <tabColor rgb="FF808080"/>
  </sheetPr>
  <dimension ref="B3:N38"/>
  <sheetViews>
    <sheetView showGridLines="0" topLeftCell="A13" workbookViewId="0">
      <selection activeCell="O26" sqref="O26"/>
    </sheetView>
  </sheetViews>
  <sheetFormatPr defaultRowHeight="14.4" x14ac:dyDescent="0.3"/>
  <cols>
    <col min="2" max="2" width="34.109375" bestFit="1" customWidth="1"/>
    <col min="3" max="11" width="7.6640625" bestFit="1" customWidth="1"/>
    <col min="12" max="14" width="8.5546875" bestFit="1" customWidth="1"/>
  </cols>
  <sheetData>
    <row r="3" spans="2:14" ht="22.8" x14ac:dyDescent="0.3">
      <c r="B3" s="44" t="s">
        <v>143</v>
      </c>
    </row>
    <row r="4" spans="2:14" ht="28.8" x14ac:dyDescent="0.3">
      <c r="B4" s="45" t="s">
        <v>144</v>
      </c>
    </row>
    <row r="5" spans="2:14" ht="15" thickBot="1" x14ac:dyDescent="0.35">
      <c r="B5" s="46"/>
      <c r="C5" s="47">
        <v>42064</v>
      </c>
      <c r="D5" s="47">
        <v>42430</v>
      </c>
      <c r="E5" s="47">
        <v>42795</v>
      </c>
      <c r="F5" s="47">
        <v>43160</v>
      </c>
      <c r="G5" s="47">
        <v>43525</v>
      </c>
      <c r="H5" s="47">
        <v>43891</v>
      </c>
      <c r="I5" s="47">
        <v>44256</v>
      </c>
      <c r="J5" s="47">
        <v>44621</v>
      </c>
      <c r="K5" s="47">
        <v>44986</v>
      </c>
      <c r="L5" s="47">
        <v>45352</v>
      </c>
      <c r="M5" s="47">
        <v>45717</v>
      </c>
      <c r="N5" s="47">
        <v>46082</v>
      </c>
    </row>
    <row r="6" spans="2:14" ht="15" thickBot="1" x14ac:dyDescent="0.35">
      <c r="B6" s="48" t="s">
        <v>145</v>
      </c>
      <c r="C6" s="49">
        <v>3292</v>
      </c>
      <c r="D6" s="49">
        <v>4171</v>
      </c>
      <c r="E6" s="49">
        <v>5185</v>
      </c>
      <c r="F6" s="49">
        <v>6059</v>
      </c>
      <c r="G6" s="49">
        <v>5800</v>
      </c>
      <c r="H6" s="49">
        <v>7623</v>
      </c>
      <c r="I6" s="49">
        <v>9163</v>
      </c>
      <c r="J6" s="49">
        <v>9048</v>
      </c>
      <c r="K6" s="49">
        <v>9991</v>
      </c>
      <c r="L6" s="49">
        <v>15469</v>
      </c>
      <c r="M6" s="49">
        <v>11886</v>
      </c>
      <c r="N6" s="49">
        <v>10999</v>
      </c>
    </row>
    <row r="7" spans="2:14" x14ac:dyDescent="0.3">
      <c r="B7" s="50" t="s">
        <v>146</v>
      </c>
      <c r="C7" s="49">
        <v>5510</v>
      </c>
      <c r="D7" s="49">
        <v>6025</v>
      </c>
      <c r="E7" s="49">
        <v>6512</v>
      </c>
      <c r="F7" s="49">
        <v>7485</v>
      </c>
      <c r="G7" s="49">
        <v>8909</v>
      </c>
      <c r="H7" s="49">
        <v>9723</v>
      </c>
      <c r="I7" s="49">
        <v>11672</v>
      </c>
      <c r="J7" s="49">
        <v>12829</v>
      </c>
      <c r="K7" s="49">
        <v>14089</v>
      </c>
      <c r="L7" s="49">
        <v>14537</v>
      </c>
      <c r="M7" s="49">
        <v>14942</v>
      </c>
      <c r="N7" s="49">
        <v>15153</v>
      </c>
    </row>
    <row r="8" spans="2:14" x14ac:dyDescent="0.3">
      <c r="B8" s="51" t="s">
        <v>69</v>
      </c>
      <c r="C8" s="52">
        <v>3</v>
      </c>
      <c r="D8" s="52">
        <v>-257</v>
      </c>
      <c r="E8" s="52">
        <v>173</v>
      </c>
      <c r="F8" s="52">
        <v>0</v>
      </c>
      <c r="G8" s="52">
        <v>0</v>
      </c>
      <c r="H8" s="52">
        <v>0</v>
      </c>
      <c r="I8" s="52">
        <v>0</v>
      </c>
      <c r="J8" s="52">
        <v>0</v>
      </c>
      <c r="K8" s="52">
        <v>0</v>
      </c>
      <c r="L8" s="52">
        <v>0</v>
      </c>
      <c r="M8" s="52">
        <v>0</v>
      </c>
      <c r="N8" s="52">
        <v>0</v>
      </c>
    </row>
    <row r="9" spans="2:14" x14ac:dyDescent="0.3">
      <c r="B9" s="51" t="s">
        <v>45</v>
      </c>
      <c r="C9" s="52">
        <v>91</v>
      </c>
      <c r="D9" s="52">
        <v>89</v>
      </c>
      <c r="E9" s="52">
        <v>37</v>
      </c>
      <c r="F9" s="52">
        <v>-146</v>
      </c>
      <c r="G9" s="52">
        <v>-195</v>
      </c>
      <c r="H9" s="52">
        <v>-331</v>
      </c>
      <c r="I9" s="52">
        <v>-543</v>
      </c>
      <c r="J9" s="52">
        <v>-758</v>
      </c>
      <c r="K9" s="52">
        <v>-339</v>
      </c>
      <c r="L9" s="52">
        <v>74</v>
      </c>
      <c r="M9" s="52">
        <v>-584</v>
      </c>
      <c r="N9" s="52">
        <v>-692</v>
      </c>
    </row>
    <row r="10" spans="2:14" x14ac:dyDescent="0.3">
      <c r="B10" s="51" t="s">
        <v>147</v>
      </c>
      <c r="C10" s="52">
        <v>-327</v>
      </c>
      <c r="D10" s="52">
        <v>164</v>
      </c>
      <c r="E10" s="52">
        <v>501</v>
      </c>
      <c r="F10" s="52">
        <v>0</v>
      </c>
      <c r="G10" s="52">
        <v>0</v>
      </c>
      <c r="H10" s="52">
        <v>0</v>
      </c>
      <c r="I10" s="52">
        <v>0</v>
      </c>
      <c r="J10" s="52">
        <v>0</v>
      </c>
      <c r="K10" s="52">
        <v>0</v>
      </c>
      <c r="L10" s="52">
        <v>0</v>
      </c>
      <c r="M10" s="52">
        <v>0</v>
      </c>
      <c r="N10" s="52">
        <v>0</v>
      </c>
    </row>
    <row r="11" spans="2:14" x14ac:dyDescent="0.3">
      <c r="B11" s="51" t="s">
        <v>148</v>
      </c>
      <c r="C11" s="52">
        <v>-148</v>
      </c>
      <c r="D11" s="52">
        <v>0</v>
      </c>
      <c r="E11" s="52">
        <v>0</v>
      </c>
      <c r="F11" s="52">
        <v>0</v>
      </c>
      <c r="G11" s="52">
        <v>0</v>
      </c>
      <c r="H11" s="52">
        <v>0</v>
      </c>
      <c r="I11" s="52">
        <v>0</v>
      </c>
      <c r="J11" s="52">
        <v>0</v>
      </c>
      <c r="K11" s="52">
        <v>0</v>
      </c>
      <c r="L11" s="52">
        <v>0</v>
      </c>
      <c r="M11" s="52">
        <v>0</v>
      </c>
      <c r="N11" s="52">
        <v>0</v>
      </c>
    </row>
    <row r="12" spans="2:14" x14ac:dyDescent="0.3">
      <c r="B12" s="51" t="s">
        <v>149</v>
      </c>
      <c r="C12" s="52">
        <v>0</v>
      </c>
      <c r="D12" s="52">
        <v>0</v>
      </c>
      <c r="E12" s="52">
        <v>-46</v>
      </c>
      <c r="F12" s="52">
        <v>0</v>
      </c>
      <c r="G12" s="52">
        <v>0</v>
      </c>
      <c r="H12" s="52">
        <v>0</v>
      </c>
      <c r="I12" s="52">
        <v>0</v>
      </c>
      <c r="J12" s="52">
        <v>0</v>
      </c>
      <c r="K12" s="52">
        <v>0</v>
      </c>
      <c r="L12" s="52">
        <v>0</v>
      </c>
      <c r="M12" s="52">
        <v>0</v>
      </c>
      <c r="N12" s="52">
        <v>0</v>
      </c>
    </row>
    <row r="13" spans="2:14" ht="15" thickBot="1" x14ac:dyDescent="0.35">
      <c r="B13" s="51" t="s">
        <v>150</v>
      </c>
      <c r="C13" s="52">
        <v>38</v>
      </c>
      <c r="D13" s="52">
        <v>-77</v>
      </c>
      <c r="E13" s="52">
        <v>-99</v>
      </c>
      <c r="F13" s="52">
        <v>982</v>
      </c>
      <c r="G13" s="52">
        <v>-147</v>
      </c>
      <c r="H13" s="52">
        <v>742</v>
      </c>
      <c r="I13" s="52">
        <v>442</v>
      </c>
      <c r="J13" s="52">
        <v>-242</v>
      </c>
      <c r="K13" s="52">
        <v>-621</v>
      </c>
      <c r="L13" s="53">
        <v>1239</v>
      </c>
      <c r="M13" s="52">
        <v>-204</v>
      </c>
      <c r="N13" s="53">
        <v>1378</v>
      </c>
    </row>
    <row r="14" spans="2:14" x14ac:dyDescent="0.3">
      <c r="B14" s="50" t="s">
        <v>151</v>
      </c>
      <c r="C14" s="54">
        <v>-342</v>
      </c>
      <c r="D14" s="54">
        <v>-81</v>
      </c>
      <c r="E14" s="54">
        <v>566</v>
      </c>
      <c r="F14" s="54">
        <v>836</v>
      </c>
      <c r="G14" s="54">
        <v>-342</v>
      </c>
      <c r="H14" s="54">
        <v>411</v>
      </c>
      <c r="I14" s="54">
        <v>-101</v>
      </c>
      <c r="J14" s="49">
        <v>-1000</v>
      </c>
      <c r="K14" s="54">
        <v>-960</v>
      </c>
      <c r="L14" s="49">
        <v>1313</v>
      </c>
      <c r="M14" s="54">
        <v>-788</v>
      </c>
      <c r="N14" s="54">
        <v>686</v>
      </c>
    </row>
    <row r="15" spans="2:14" x14ac:dyDescent="0.3">
      <c r="B15" s="51" t="s">
        <v>152</v>
      </c>
      <c r="C15" s="53">
        <v>-1862</v>
      </c>
      <c r="D15" s="53">
        <v>-1765</v>
      </c>
      <c r="E15" s="53">
        <v>-1859</v>
      </c>
      <c r="F15" s="53">
        <v>-2264</v>
      </c>
      <c r="G15" s="53">
        <v>-2767</v>
      </c>
      <c r="H15" s="53">
        <v>-2505</v>
      </c>
      <c r="I15" s="53">
        <v>-2407</v>
      </c>
      <c r="J15" s="53">
        <v>-2784</v>
      </c>
      <c r="K15" s="53">
        <v>-3138</v>
      </c>
      <c r="L15" s="52">
        <v>-381</v>
      </c>
      <c r="M15" s="53">
        <v>-2268</v>
      </c>
      <c r="N15" s="53">
        <v>-4840</v>
      </c>
    </row>
    <row r="16" spans="2:14" x14ac:dyDescent="0.3">
      <c r="B16" s="51" t="s">
        <v>153</v>
      </c>
      <c r="C16" s="52">
        <v>-14</v>
      </c>
      <c r="D16" s="52">
        <v>-8</v>
      </c>
      <c r="E16" s="52">
        <v>-21</v>
      </c>
      <c r="F16" s="52">
        <v>0</v>
      </c>
      <c r="G16" s="52">
        <v>0</v>
      </c>
      <c r="H16" s="52">
        <v>0</v>
      </c>
      <c r="I16" s="52">
        <v>0</v>
      </c>
      <c r="J16" s="52">
        <v>0</v>
      </c>
      <c r="K16" s="52">
        <v>0</v>
      </c>
      <c r="L16" s="52">
        <v>0</v>
      </c>
      <c r="M16" s="52">
        <v>0</v>
      </c>
      <c r="N16" s="52">
        <v>0</v>
      </c>
    </row>
    <row r="17" spans="2:14" ht="15" thickBot="1" x14ac:dyDescent="0.35">
      <c r="B17" s="51" t="s">
        <v>154</v>
      </c>
      <c r="C17" s="52">
        <v>0</v>
      </c>
      <c r="D17" s="52">
        <v>0</v>
      </c>
      <c r="E17" s="52">
        <v>-13</v>
      </c>
      <c r="F17" s="52">
        <v>2</v>
      </c>
      <c r="G17" s="52">
        <v>0</v>
      </c>
      <c r="H17" s="52">
        <v>-6</v>
      </c>
      <c r="I17" s="52">
        <v>-1</v>
      </c>
      <c r="J17" s="52">
        <v>3</v>
      </c>
      <c r="K17" s="52">
        <v>0</v>
      </c>
      <c r="L17" s="52">
        <v>0</v>
      </c>
      <c r="M17" s="52">
        <v>0</v>
      </c>
      <c r="N17" s="52">
        <v>0</v>
      </c>
    </row>
    <row r="18" spans="2:14" x14ac:dyDescent="0.3">
      <c r="B18" s="55" t="s">
        <v>155</v>
      </c>
      <c r="C18" s="56">
        <v>138</v>
      </c>
      <c r="D18" s="56">
        <v>-282</v>
      </c>
      <c r="E18" s="57">
        <v>-1173</v>
      </c>
      <c r="F18" s="57">
        <v>-1063</v>
      </c>
      <c r="G18" s="56">
        <v>-438</v>
      </c>
      <c r="H18" s="57">
        <v>1791</v>
      </c>
      <c r="I18" s="57">
        <v>-1228</v>
      </c>
      <c r="J18" s="57">
        <v>-1728</v>
      </c>
      <c r="K18" s="57">
        <v>-1484</v>
      </c>
      <c r="L18" s="57">
        <v>-5324</v>
      </c>
      <c r="M18" s="57">
        <v>6473</v>
      </c>
      <c r="N18" s="57">
        <v>-3676</v>
      </c>
    </row>
    <row r="19" spans="2:14" x14ac:dyDescent="0.3">
      <c r="B19" s="58" t="s">
        <v>156</v>
      </c>
      <c r="C19" s="59">
        <v>-606</v>
      </c>
      <c r="D19" s="59">
        <v>-810</v>
      </c>
      <c r="E19" s="60">
        <v>-1113</v>
      </c>
      <c r="F19" s="59">
        <v>-895</v>
      </c>
      <c r="G19" s="59">
        <v>-767</v>
      </c>
      <c r="H19" s="59">
        <v>-862</v>
      </c>
      <c r="I19" s="60">
        <v>-4163</v>
      </c>
      <c r="J19" s="60">
        <v>-1228</v>
      </c>
      <c r="K19" s="60">
        <v>-1192</v>
      </c>
      <c r="L19" s="60">
        <v>-1477</v>
      </c>
      <c r="M19" s="60">
        <v>-1275</v>
      </c>
      <c r="N19" s="60">
        <v>-1361</v>
      </c>
    </row>
    <row r="20" spans="2:14" x14ac:dyDescent="0.3">
      <c r="B20" s="58" t="s">
        <v>157</v>
      </c>
      <c r="C20" s="59">
        <v>560</v>
      </c>
      <c r="D20" s="59">
        <v>99</v>
      </c>
      <c r="E20" s="59">
        <v>176</v>
      </c>
      <c r="F20" s="59">
        <v>32</v>
      </c>
      <c r="G20" s="59">
        <v>13</v>
      </c>
      <c r="H20" s="59">
        <v>52</v>
      </c>
      <c r="I20" s="59">
        <v>97</v>
      </c>
      <c r="J20" s="59">
        <v>175</v>
      </c>
      <c r="K20" s="59">
        <v>181</v>
      </c>
      <c r="L20" s="59">
        <v>20</v>
      </c>
      <c r="M20" s="59">
        <v>13</v>
      </c>
      <c r="N20" s="59">
        <v>29</v>
      </c>
    </row>
    <row r="21" spans="2:14" x14ac:dyDescent="0.3">
      <c r="B21" s="58" t="s">
        <v>158</v>
      </c>
      <c r="C21" s="60">
        <v>-19353</v>
      </c>
      <c r="D21" s="60">
        <v>-20666</v>
      </c>
      <c r="E21" s="60">
        <v>-31214</v>
      </c>
      <c r="F21" s="60">
        <v>-51855</v>
      </c>
      <c r="G21" s="60">
        <v>-74365</v>
      </c>
      <c r="H21" s="60">
        <v>-36090</v>
      </c>
      <c r="I21" s="60">
        <v>-39920</v>
      </c>
      <c r="J21" s="60">
        <v>-48522</v>
      </c>
      <c r="K21" s="60">
        <v>-22649</v>
      </c>
      <c r="L21" s="60">
        <v>-21337</v>
      </c>
      <c r="M21" s="60">
        <v>-22957</v>
      </c>
      <c r="N21" s="60">
        <v>-25529</v>
      </c>
    </row>
    <row r="22" spans="2:14" x14ac:dyDescent="0.3">
      <c r="B22" s="58" t="s">
        <v>159</v>
      </c>
      <c r="C22" s="60">
        <v>19461</v>
      </c>
      <c r="D22" s="60">
        <v>20937</v>
      </c>
      <c r="E22" s="60">
        <v>30083</v>
      </c>
      <c r="F22" s="60">
        <v>52897</v>
      </c>
      <c r="G22" s="60">
        <v>74691</v>
      </c>
      <c r="H22" s="60">
        <v>37690</v>
      </c>
      <c r="I22" s="60">
        <v>38486</v>
      </c>
      <c r="J22" s="60">
        <v>47786</v>
      </c>
      <c r="K22" s="60">
        <v>23462</v>
      </c>
      <c r="L22" s="60">
        <v>19846</v>
      </c>
      <c r="M22" s="60">
        <v>23987</v>
      </c>
      <c r="N22" s="60">
        <v>25117</v>
      </c>
    </row>
    <row r="23" spans="2:14" x14ac:dyDescent="0.3">
      <c r="B23" s="58" t="s">
        <v>160</v>
      </c>
      <c r="C23" s="59">
        <v>218</v>
      </c>
      <c r="D23" s="59">
        <v>315</v>
      </c>
      <c r="E23" s="59">
        <v>264</v>
      </c>
      <c r="F23" s="59">
        <v>297</v>
      </c>
      <c r="G23" s="59">
        <v>289</v>
      </c>
      <c r="H23" s="59">
        <v>351</v>
      </c>
      <c r="I23" s="59">
        <v>277</v>
      </c>
      <c r="J23" s="59">
        <v>161</v>
      </c>
      <c r="K23" s="59">
        <v>259</v>
      </c>
      <c r="L23" s="59">
        <v>425</v>
      </c>
      <c r="M23" s="59">
        <v>835</v>
      </c>
      <c r="N23" s="59">
        <v>428</v>
      </c>
    </row>
    <row r="24" spans="2:14" x14ac:dyDescent="0.3">
      <c r="B24" s="58" t="s">
        <v>161</v>
      </c>
      <c r="C24" s="59">
        <v>24</v>
      </c>
      <c r="D24" s="59">
        <v>33</v>
      </c>
      <c r="E24" s="59">
        <v>14</v>
      </c>
      <c r="F24" s="59">
        <v>0</v>
      </c>
      <c r="G24" s="59">
        <v>1</v>
      </c>
      <c r="H24" s="59">
        <v>1</v>
      </c>
      <c r="I24" s="59">
        <v>1</v>
      </c>
      <c r="J24" s="59">
        <v>1</v>
      </c>
      <c r="K24" s="59">
        <v>2</v>
      </c>
      <c r="L24" s="59">
        <v>3</v>
      </c>
      <c r="M24" s="59">
        <v>0</v>
      </c>
      <c r="N24" s="59">
        <v>5</v>
      </c>
    </row>
    <row r="25" spans="2:14" x14ac:dyDescent="0.3">
      <c r="B25" s="58" t="s">
        <v>162</v>
      </c>
      <c r="C25" s="59">
        <v>200</v>
      </c>
      <c r="D25" s="59">
        <v>161</v>
      </c>
      <c r="E25" s="59">
        <v>20</v>
      </c>
      <c r="F25" s="59">
        <v>73</v>
      </c>
      <c r="G25" s="59">
        <v>0</v>
      </c>
      <c r="H25" s="59">
        <v>0</v>
      </c>
      <c r="I25" s="59">
        <v>0</v>
      </c>
      <c r="J25" s="59">
        <v>0</v>
      </c>
      <c r="K25" s="59">
        <v>0</v>
      </c>
      <c r="L25" s="59">
        <v>0</v>
      </c>
      <c r="M25" s="59">
        <v>0</v>
      </c>
      <c r="N25" s="59">
        <v>298</v>
      </c>
    </row>
    <row r="26" spans="2:14" x14ac:dyDescent="0.3">
      <c r="B26" s="58" t="s">
        <v>163</v>
      </c>
      <c r="C26" s="59">
        <v>0</v>
      </c>
      <c r="D26" s="59">
        <v>0</v>
      </c>
      <c r="E26" s="59">
        <v>0</v>
      </c>
      <c r="F26" s="59">
        <v>0</v>
      </c>
      <c r="G26" s="59">
        <v>0</v>
      </c>
      <c r="H26" s="59">
        <v>0</v>
      </c>
      <c r="I26" s="59">
        <v>0</v>
      </c>
      <c r="J26" s="59">
        <v>0</v>
      </c>
      <c r="K26" s="59">
        <v>-334</v>
      </c>
      <c r="L26" s="59">
        <v>0</v>
      </c>
      <c r="M26" s="59">
        <v>0</v>
      </c>
      <c r="N26" s="59">
        <v>0</v>
      </c>
    </row>
    <row r="27" spans="2:14" ht="15" thickBot="1" x14ac:dyDescent="0.35">
      <c r="B27" s="58" t="s">
        <v>164</v>
      </c>
      <c r="C27" s="59">
        <v>-367</v>
      </c>
      <c r="D27" s="59">
        <v>-351</v>
      </c>
      <c r="E27" s="59">
        <v>597</v>
      </c>
      <c r="F27" s="60">
        <v>-1612</v>
      </c>
      <c r="G27" s="59">
        <v>-300</v>
      </c>
      <c r="H27" s="59">
        <v>649</v>
      </c>
      <c r="I27" s="60">
        <v>3994</v>
      </c>
      <c r="J27" s="59">
        <v>-101</v>
      </c>
      <c r="K27" s="60">
        <v>-1213</v>
      </c>
      <c r="L27" s="60">
        <v>-2804</v>
      </c>
      <c r="M27" s="60">
        <v>5870</v>
      </c>
      <c r="N27" s="60">
        <v>-2663</v>
      </c>
    </row>
    <row r="28" spans="2:14" x14ac:dyDescent="0.3">
      <c r="B28" s="48" t="s">
        <v>165</v>
      </c>
      <c r="C28" s="49">
        <v>-3462</v>
      </c>
      <c r="D28" s="49">
        <v>-3864</v>
      </c>
      <c r="E28" s="49">
        <v>-4214</v>
      </c>
      <c r="F28" s="49">
        <v>-4975</v>
      </c>
      <c r="G28" s="49">
        <v>-5390</v>
      </c>
      <c r="H28" s="49">
        <v>-6819</v>
      </c>
      <c r="I28" s="49">
        <v>-9309</v>
      </c>
      <c r="J28" s="49">
        <v>-8015</v>
      </c>
      <c r="K28" s="49">
        <v>-8953</v>
      </c>
      <c r="L28" s="49">
        <v>-10034</v>
      </c>
      <c r="M28" s="49">
        <v>-13101</v>
      </c>
      <c r="N28" s="49">
        <v>-10810</v>
      </c>
    </row>
    <row r="29" spans="2:14" x14ac:dyDescent="0.3">
      <c r="B29" s="51" t="s">
        <v>166</v>
      </c>
      <c r="C29" s="52">
        <v>2</v>
      </c>
      <c r="D29" s="52">
        <v>0</v>
      </c>
      <c r="E29" s="52">
        <v>0</v>
      </c>
      <c r="F29" s="52">
        <v>0</v>
      </c>
      <c r="G29" s="52">
        <v>0</v>
      </c>
      <c r="H29" s="52">
        <v>0</v>
      </c>
      <c r="I29" s="52">
        <v>0</v>
      </c>
      <c r="J29" s="52">
        <v>0</v>
      </c>
      <c r="K29" s="52">
        <v>0</v>
      </c>
      <c r="L29" s="52">
        <v>0</v>
      </c>
      <c r="M29" s="52">
        <v>0</v>
      </c>
      <c r="N29" s="52">
        <v>0</v>
      </c>
    </row>
    <row r="30" spans="2:14" x14ac:dyDescent="0.3">
      <c r="B30" s="51" t="s">
        <v>167</v>
      </c>
      <c r="C30" s="52">
        <v>0</v>
      </c>
      <c r="D30" s="52">
        <v>177</v>
      </c>
      <c r="E30" s="52">
        <v>460</v>
      </c>
      <c r="F30" s="52">
        <v>0</v>
      </c>
      <c r="G30" s="52">
        <v>99</v>
      </c>
      <c r="H30" s="52">
        <v>0</v>
      </c>
      <c r="I30" s="52">
        <v>188</v>
      </c>
      <c r="J30" s="52">
        <v>55</v>
      </c>
      <c r="K30" s="52">
        <v>286</v>
      </c>
      <c r="L30" s="52">
        <v>0</v>
      </c>
      <c r="M30" s="52">
        <v>0</v>
      </c>
      <c r="N30" s="52">
        <v>0</v>
      </c>
    </row>
    <row r="31" spans="2:14" x14ac:dyDescent="0.3">
      <c r="B31" s="51" t="s">
        <v>168</v>
      </c>
      <c r="C31" s="52">
        <v>-3</v>
      </c>
      <c r="D31" s="52">
        <v>0</v>
      </c>
      <c r="E31" s="52">
        <v>-360</v>
      </c>
      <c r="F31" s="52">
        <v>-277</v>
      </c>
      <c r="G31" s="52">
        <v>0</v>
      </c>
      <c r="H31" s="52">
        <v>-99</v>
      </c>
      <c r="I31" s="52">
        <v>-188</v>
      </c>
      <c r="J31" s="52">
        <v>-55</v>
      </c>
      <c r="K31" s="52">
        <v>-208</v>
      </c>
      <c r="L31" s="52">
        <v>-85</v>
      </c>
      <c r="M31" s="52">
        <v>0</v>
      </c>
      <c r="N31" s="52">
        <v>-46</v>
      </c>
    </row>
    <row r="32" spans="2:14" x14ac:dyDescent="0.3">
      <c r="B32" s="51" t="s">
        <v>169</v>
      </c>
      <c r="C32" s="52">
        <v>-18</v>
      </c>
      <c r="D32" s="52">
        <v>-2</v>
      </c>
      <c r="E32" s="52">
        <v>-14</v>
      </c>
      <c r="F32" s="52">
        <v>-6</v>
      </c>
      <c r="G32" s="52">
        <v>-7</v>
      </c>
      <c r="H32" s="52">
        <v>-90</v>
      </c>
      <c r="I32" s="52">
        <v>-92</v>
      </c>
      <c r="J32" s="52">
        <v>-82</v>
      </c>
      <c r="K32" s="52">
        <v>-88</v>
      </c>
      <c r="L32" s="52">
        <v>-110</v>
      </c>
      <c r="M32" s="52">
        <v>-130</v>
      </c>
      <c r="N32" s="52">
        <v>-133</v>
      </c>
    </row>
    <row r="33" spans="2:14" x14ac:dyDescent="0.3">
      <c r="B33" s="51" t="s">
        <v>170</v>
      </c>
      <c r="C33" s="53">
        <v>-2912</v>
      </c>
      <c r="D33" s="53">
        <v>-3354</v>
      </c>
      <c r="E33" s="53">
        <v>-3572</v>
      </c>
      <c r="F33" s="53">
        <v>-3911</v>
      </c>
      <c r="G33" s="53">
        <v>-4554</v>
      </c>
      <c r="H33" s="53">
        <v>-5196</v>
      </c>
      <c r="I33" s="53">
        <v>-8811</v>
      </c>
      <c r="J33" s="53">
        <v>-7526</v>
      </c>
      <c r="K33" s="53">
        <v>-8474</v>
      </c>
      <c r="L33" s="53">
        <v>-9416</v>
      </c>
      <c r="M33" s="53">
        <v>-12473</v>
      </c>
      <c r="N33" s="53">
        <v>-10124</v>
      </c>
    </row>
    <row r="34" spans="2:14" x14ac:dyDescent="0.3">
      <c r="B34" s="51" t="s">
        <v>171</v>
      </c>
      <c r="C34" s="52">
        <v>0</v>
      </c>
      <c r="D34" s="52">
        <v>0</v>
      </c>
      <c r="E34" s="52">
        <v>0</v>
      </c>
      <c r="F34" s="52">
        <v>0</v>
      </c>
      <c r="G34" s="52">
        <v>0</v>
      </c>
      <c r="H34" s="52">
        <v>-373</v>
      </c>
      <c r="I34" s="52">
        <v>-406</v>
      </c>
      <c r="J34" s="52">
        <v>-407</v>
      </c>
      <c r="K34" s="52">
        <v>-467</v>
      </c>
      <c r="L34" s="52">
        <v>-423</v>
      </c>
      <c r="M34" s="52">
        <v>-498</v>
      </c>
      <c r="N34" s="52">
        <v>-507</v>
      </c>
    </row>
    <row r="35" spans="2:14" ht="15" thickBot="1" x14ac:dyDescent="0.35">
      <c r="B35" s="51" t="s">
        <v>172</v>
      </c>
      <c r="C35" s="52">
        <v>-533</v>
      </c>
      <c r="D35" s="52">
        <v>-685</v>
      </c>
      <c r="E35" s="52">
        <v>-728</v>
      </c>
      <c r="F35" s="52">
        <v>-781</v>
      </c>
      <c r="G35" s="52">
        <v>-928</v>
      </c>
      <c r="H35" s="53">
        <v>-1061</v>
      </c>
      <c r="I35" s="52">
        <v>0</v>
      </c>
      <c r="J35" s="52">
        <v>0</v>
      </c>
      <c r="K35" s="52">
        <v>-2</v>
      </c>
      <c r="L35" s="52">
        <v>0</v>
      </c>
      <c r="M35" s="52">
        <v>0</v>
      </c>
      <c r="N35" s="52">
        <v>0</v>
      </c>
    </row>
    <row r="36" spans="2:14" x14ac:dyDescent="0.3">
      <c r="B36" s="55" t="s">
        <v>35</v>
      </c>
      <c r="C36" s="56">
        <v>-33</v>
      </c>
      <c r="D36" s="56">
        <v>25</v>
      </c>
      <c r="E36" s="56">
        <v>-202</v>
      </c>
      <c r="F36" s="56">
        <v>21</v>
      </c>
      <c r="G36" s="56">
        <v>-28</v>
      </c>
      <c r="H36" s="57">
        <v>2595</v>
      </c>
      <c r="I36" s="57">
        <v>-1374</v>
      </c>
      <c r="J36" s="56">
        <v>-695</v>
      </c>
      <c r="K36" s="56">
        <v>-446</v>
      </c>
      <c r="L36" s="56">
        <v>111</v>
      </c>
      <c r="M36" s="57">
        <v>5258</v>
      </c>
      <c r="N36" s="57">
        <v>-3487</v>
      </c>
    </row>
    <row r="37" spans="2:14" x14ac:dyDescent="0.3">
      <c r="B37" s="61" t="s">
        <v>173</v>
      </c>
      <c r="C37" s="62">
        <v>3246</v>
      </c>
      <c r="D37" s="62">
        <v>3460</v>
      </c>
      <c r="E37" s="62">
        <v>4248</v>
      </c>
      <c r="F37" s="62">
        <v>5196</v>
      </c>
      <c r="G37" s="62">
        <v>5046</v>
      </c>
      <c r="H37" s="62">
        <v>6813</v>
      </c>
      <c r="I37" s="62">
        <v>5097</v>
      </c>
      <c r="J37" s="62">
        <v>7995</v>
      </c>
      <c r="K37" s="62">
        <v>8980</v>
      </c>
      <c r="L37" s="62">
        <v>14012</v>
      </c>
      <c r="M37" s="62">
        <v>10624</v>
      </c>
      <c r="N37" s="62">
        <v>9667</v>
      </c>
    </row>
    <row r="38" spans="2:14" x14ac:dyDescent="0.3">
      <c r="B38" s="63" t="s">
        <v>174</v>
      </c>
      <c r="C38" s="64">
        <v>0.95</v>
      </c>
      <c r="D38" s="64">
        <v>1</v>
      </c>
      <c r="E38" s="64">
        <v>1.1100000000000001</v>
      </c>
      <c r="F38" s="64">
        <v>1.1100000000000001</v>
      </c>
      <c r="G38" s="64">
        <v>0.96</v>
      </c>
      <c r="H38" s="64">
        <v>1.03</v>
      </c>
      <c r="I38" s="64">
        <v>1</v>
      </c>
      <c r="J38" s="64">
        <v>0.92</v>
      </c>
      <c r="K38" s="64">
        <v>0.93</v>
      </c>
      <c r="L38" s="64">
        <v>1.08</v>
      </c>
      <c r="M38" s="64">
        <v>0.96</v>
      </c>
      <c r="N38" s="64">
        <v>1.05</v>
      </c>
    </row>
  </sheetData>
  <hyperlinks>
    <hyperlink ref="B4" r:id="rId1" location="cash-flow" display="https://www.screener.in/company/HINDUNILVR/ - cash-flow" xr:uid="{E77EFA32-33DB-497E-8C1A-FC693410B8F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808080"/>
    <pageSetUpPr fitToPage="1"/>
  </sheetPr>
  <dimension ref="A1:K22"/>
  <sheetViews>
    <sheetView showGridLines="0"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6640625" defaultRowHeight="14.4" x14ac:dyDescent="0.3"/>
  <cols>
    <col min="1" max="1" width="20.6640625" customWidth="1"/>
    <col min="2" max="11" width="13.44140625" bestFit="1" customWidth="1"/>
  </cols>
  <sheetData>
    <row r="1" spans="1:11" s="2" customFormat="1" x14ac:dyDescent="0.3">
      <c r="A1" s="2" t="str">
        <f>'Profit &amp; Loss'!A1</f>
        <v>HINDUSTAN UNILEVER LTD</v>
      </c>
      <c r="E1" t="str">
        <f>UPDATE</f>
        <v/>
      </c>
      <c r="J1" s="2" t="s">
        <v>1</v>
      </c>
    </row>
    <row r="3" spans="1:11" s="2" customFormat="1" x14ac:dyDescent="0.3">
      <c r="A3" s="11" t="s">
        <v>2</v>
      </c>
      <c r="B3" s="12">
        <f>'Data Sheet'!B41</f>
        <v>45382</v>
      </c>
      <c r="C3" s="12">
        <f>'Data Sheet'!C41</f>
        <v>45473</v>
      </c>
      <c r="D3" s="12">
        <f>'Data Sheet'!D41</f>
        <v>45565</v>
      </c>
      <c r="E3" s="12">
        <f>'Data Sheet'!E41</f>
        <v>45657</v>
      </c>
      <c r="F3" s="12">
        <f>'Data Sheet'!F41</f>
        <v>45747</v>
      </c>
      <c r="G3" s="12">
        <f>'Data Sheet'!G41</f>
        <v>45838</v>
      </c>
      <c r="H3" s="12">
        <f>'Data Sheet'!H41</f>
        <v>45930</v>
      </c>
      <c r="I3" s="12">
        <f>'Data Sheet'!I41</f>
        <v>46022</v>
      </c>
      <c r="J3" s="12">
        <f>'Data Sheet'!J41</f>
        <v>46112</v>
      </c>
      <c r="K3" s="12">
        <f>'Data Sheet'!K41</f>
        <v>46203</v>
      </c>
    </row>
    <row r="4" spans="1:11" s="2" customFormat="1" x14ac:dyDescent="0.3">
      <c r="A4" s="2" t="s">
        <v>6</v>
      </c>
      <c r="B4" s="1">
        <f>'Data Sheet'!B42</f>
        <v>15210</v>
      </c>
      <c r="C4" s="1">
        <f>'Data Sheet'!C42</f>
        <v>15707</v>
      </c>
      <c r="D4" s="1">
        <f>'Data Sheet'!D42</f>
        <v>15926</v>
      </c>
      <c r="E4" s="1">
        <f>'Data Sheet'!E42</f>
        <v>15556</v>
      </c>
      <c r="F4" s="1">
        <f>'Data Sheet'!F42</f>
        <v>15190</v>
      </c>
      <c r="G4" s="1">
        <f>'Data Sheet'!G42</f>
        <v>15757</v>
      </c>
      <c r="H4" s="1">
        <f>'Data Sheet'!H42</f>
        <v>15919</v>
      </c>
      <c r="I4" s="1">
        <f>'Data Sheet'!I42</f>
        <v>16441</v>
      </c>
      <c r="J4" s="1">
        <f>'Data Sheet'!J42</f>
        <v>16351</v>
      </c>
      <c r="K4" s="1">
        <f>'Data Sheet'!K42</f>
        <v>17341</v>
      </c>
    </row>
    <row r="5" spans="1:11" x14ac:dyDescent="0.3">
      <c r="A5" t="s">
        <v>7</v>
      </c>
      <c r="B5" s="6">
        <f>'Data Sheet'!B43</f>
        <v>11675</v>
      </c>
      <c r="C5" s="6">
        <f>'Data Sheet'!C43</f>
        <v>11965</v>
      </c>
      <c r="D5" s="6">
        <f>'Data Sheet'!D43</f>
        <v>12139</v>
      </c>
      <c r="E5" s="6">
        <f>'Data Sheet'!E43</f>
        <v>11867</v>
      </c>
      <c r="F5" s="6">
        <f>'Data Sheet'!F43</f>
        <v>11572</v>
      </c>
      <c r="G5" s="6">
        <f>'Data Sheet'!G43</f>
        <v>12118</v>
      </c>
      <c r="H5" s="6">
        <f>'Data Sheet'!H43</f>
        <v>12137</v>
      </c>
      <c r="I5" s="6">
        <f>'Data Sheet'!I43</f>
        <v>12660</v>
      </c>
      <c r="J5" s="6">
        <f>'Data Sheet'!J43</f>
        <v>12514</v>
      </c>
      <c r="K5" s="6">
        <f>'Data Sheet'!K43</f>
        <v>13394</v>
      </c>
    </row>
    <row r="6" spans="1:11" s="2" customFormat="1" x14ac:dyDescent="0.3">
      <c r="A6" s="2" t="s">
        <v>8</v>
      </c>
      <c r="B6" s="1">
        <f>'Data Sheet'!B50</f>
        <v>3535</v>
      </c>
      <c r="C6" s="1">
        <f>'Data Sheet'!C50</f>
        <v>3742</v>
      </c>
      <c r="D6" s="1">
        <f>'Data Sheet'!D50</f>
        <v>3787</v>
      </c>
      <c r="E6" s="1">
        <f>'Data Sheet'!E50</f>
        <v>3689</v>
      </c>
      <c r="F6" s="1">
        <f>'Data Sheet'!F50</f>
        <v>3618</v>
      </c>
      <c r="G6" s="1">
        <f>'Data Sheet'!G50</f>
        <v>3639</v>
      </c>
      <c r="H6" s="1">
        <f>'Data Sheet'!H50</f>
        <v>3782</v>
      </c>
      <c r="I6" s="1">
        <f>'Data Sheet'!I50</f>
        <v>3781</v>
      </c>
      <c r="J6" s="1">
        <f>'Data Sheet'!J50</f>
        <v>3837</v>
      </c>
      <c r="K6" s="1">
        <f>'Data Sheet'!K50</f>
        <v>3947</v>
      </c>
    </row>
    <row r="7" spans="1:11" x14ac:dyDescent="0.3">
      <c r="A7" t="s">
        <v>9</v>
      </c>
      <c r="B7" s="6">
        <f>'Data Sheet'!B44</f>
        <v>309</v>
      </c>
      <c r="C7" s="6">
        <f>'Data Sheet'!C44</f>
        <v>209</v>
      </c>
      <c r="D7" s="6">
        <f>'Data Sheet'!D44</f>
        <v>203</v>
      </c>
      <c r="E7" s="6">
        <f>'Data Sheet'!E44</f>
        <v>733</v>
      </c>
      <c r="F7" s="6">
        <f>'Data Sheet'!F44</f>
        <v>149</v>
      </c>
      <c r="G7" s="6">
        <f>'Data Sheet'!G44</f>
        <v>103</v>
      </c>
      <c r="H7" s="6">
        <f>'Data Sheet'!H44</f>
        <v>269</v>
      </c>
      <c r="I7" s="6">
        <f>'Data Sheet'!I44</f>
        <v>4048</v>
      </c>
      <c r="J7" s="6">
        <f>'Data Sheet'!J44</f>
        <v>503</v>
      </c>
      <c r="K7" s="6">
        <f>'Data Sheet'!K44</f>
        <v>113</v>
      </c>
    </row>
    <row r="8" spans="1:11" x14ac:dyDescent="0.3">
      <c r="A8" t="s">
        <v>10</v>
      </c>
      <c r="B8" s="6">
        <f>'Data Sheet'!B45</f>
        <v>320</v>
      </c>
      <c r="C8" s="6">
        <f>'Data Sheet'!C45</f>
        <v>329</v>
      </c>
      <c r="D8" s="6">
        <f>'Data Sheet'!D45</f>
        <v>338</v>
      </c>
      <c r="E8" s="6">
        <f>'Data Sheet'!E45</f>
        <v>318</v>
      </c>
      <c r="F8" s="6">
        <f>'Data Sheet'!F45</f>
        <v>318</v>
      </c>
      <c r="G8" s="6">
        <f>'Data Sheet'!G45</f>
        <v>326</v>
      </c>
      <c r="H8" s="6">
        <f>'Data Sheet'!H45</f>
        <v>322</v>
      </c>
      <c r="I8" s="6">
        <f>'Data Sheet'!I45</f>
        <v>337</v>
      </c>
      <c r="J8" s="6">
        <f>'Data Sheet'!J45</f>
        <v>348</v>
      </c>
      <c r="K8" s="6">
        <f>'Data Sheet'!K45</f>
        <v>353</v>
      </c>
    </row>
    <row r="9" spans="1:11" x14ac:dyDescent="0.3">
      <c r="A9" t="s">
        <v>11</v>
      </c>
      <c r="B9" s="6">
        <f>'Data Sheet'!B46</f>
        <v>105</v>
      </c>
      <c r="C9" s="6">
        <f>'Data Sheet'!C46</f>
        <v>93</v>
      </c>
      <c r="D9" s="6">
        <f>'Data Sheet'!D46</f>
        <v>110</v>
      </c>
      <c r="E9" s="6">
        <f>'Data Sheet'!E46</f>
        <v>109</v>
      </c>
      <c r="F9" s="6">
        <f>'Data Sheet'!F46</f>
        <v>77</v>
      </c>
      <c r="G9" s="6">
        <f>'Data Sheet'!G46</f>
        <v>122</v>
      </c>
      <c r="H9" s="6">
        <f>'Data Sheet'!H46</f>
        <v>124</v>
      </c>
      <c r="I9" s="6">
        <f>'Data Sheet'!I46</f>
        <v>88</v>
      </c>
      <c r="J9" s="6">
        <f>'Data Sheet'!J46</f>
        <v>76</v>
      </c>
      <c r="K9" s="6">
        <f>'Data Sheet'!K46</f>
        <v>75</v>
      </c>
    </row>
    <row r="10" spans="1:11" x14ac:dyDescent="0.3">
      <c r="A10" t="s">
        <v>12</v>
      </c>
      <c r="B10" s="6">
        <f>'Data Sheet'!B47</f>
        <v>3419</v>
      </c>
      <c r="C10" s="6">
        <f>'Data Sheet'!C47</f>
        <v>3529</v>
      </c>
      <c r="D10" s="6">
        <f>'Data Sheet'!D47</f>
        <v>3542</v>
      </c>
      <c r="E10" s="6">
        <f>'Data Sheet'!E47</f>
        <v>3995</v>
      </c>
      <c r="F10" s="6">
        <f>'Data Sheet'!F47</f>
        <v>3372</v>
      </c>
      <c r="G10" s="6">
        <f>'Data Sheet'!G47</f>
        <v>3294</v>
      </c>
      <c r="H10" s="6">
        <f>'Data Sheet'!H47</f>
        <v>3605</v>
      </c>
      <c r="I10" s="6">
        <f>'Data Sheet'!I47</f>
        <v>7404</v>
      </c>
      <c r="J10" s="6">
        <f>'Data Sheet'!J47</f>
        <v>3916</v>
      </c>
      <c r="K10" s="6">
        <f>'Data Sheet'!K47</f>
        <v>3632</v>
      </c>
    </row>
    <row r="11" spans="1:11" x14ac:dyDescent="0.3">
      <c r="A11" t="s">
        <v>13</v>
      </c>
      <c r="B11" s="6">
        <f>'Data Sheet'!B48</f>
        <v>858</v>
      </c>
      <c r="C11" s="6">
        <f>'Data Sheet'!C48</f>
        <v>917</v>
      </c>
      <c r="D11" s="6">
        <f>'Data Sheet'!D48</f>
        <v>947</v>
      </c>
      <c r="E11" s="6">
        <f>'Data Sheet'!E48</f>
        <v>1006</v>
      </c>
      <c r="F11" s="6">
        <f>'Data Sheet'!F48</f>
        <v>897</v>
      </c>
      <c r="G11" s="6">
        <f>'Data Sheet'!G48</f>
        <v>526</v>
      </c>
      <c r="H11" s="6">
        <f>'Data Sheet'!H48</f>
        <v>911</v>
      </c>
      <c r="I11" s="6">
        <f>'Data Sheet'!I48</f>
        <v>801</v>
      </c>
      <c r="J11" s="6">
        <f>'Data Sheet'!J48</f>
        <v>922</v>
      </c>
      <c r="K11" s="6">
        <f>'Data Sheet'!K48</f>
        <v>952</v>
      </c>
    </row>
    <row r="12" spans="1:11" s="2" customFormat="1" x14ac:dyDescent="0.3">
      <c r="A12" s="2" t="s">
        <v>14</v>
      </c>
      <c r="B12" s="1">
        <f>'Data Sheet'!B49</f>
        <v>2558</v>
      </c>
      <c r="C12" s="1">
        <f>'Data Sheet'!C49</f>
        <v>2610</v>
      </c>
      <c r="D12" s="1">
        <f>'Data Sheet'!D49</f>
        <v>2591</v>
      </c>
      <c r="E12" s="1">
        <f>'Data Sheet'!E49</f>
        <v>2984</v>
      </c>
      <c r="F12" s="1">
        <f>'Data Sheet'!F49</f>
        <v>2464</v>
      </c>
      <c r="G12" s="1">
        <f>'Data Sheet'!G49</f>
        <v>2756</v>
      </c>
      <c r="H12" s="1">
        <f>'Data Sheet'!H49</f>
        <v>2685</v>
      </c>
      <c r="I12" s="1">
        <f>'Data Sheet'!I49</f>
        <v>6607</v>
      </c>
      <c r="J12" s="1">
        <f>'Data Sheet'!J49</f>
        <v>2992</v>
      </c>
      <c r="K12" s="1">
        <f>'Data Sheet'!K49</f>
        <v>2673</v>
      </c>
    </row>
    <row r="14" spans="1:11" s="2" customFormat="1" x14ac:dyDescent="0.3">
      <c r="A14" s="2" t="s">
        <v>18</v>
      </c>
      <c r="B14" s="10">
        <f>IF(B4&gt;0,B6/B4,"")</f>
        <v>0.23241288625904011</v>
      </c>
      <c r="C14" s="10">
        <f t="shared" ref="C14:K14" si="0">IF(C4&gt;0,C6/C4,"")</f>
        <v>0.23823772840134971</v>
      </c>
      <c r="D14" s="10">
        <f t="shared" si="0"/>
        <v>0.23778726610573905</v>
      </c>
      <c r="E14" s="10">
        <f t="shared" si="0"/>
        <v>0.23714322447930059</v>
      </c>
      <c r="F14" s="10">
        <f t="shared" si="0"/>
        <v>0.2381830151415405</v>
      </c>
      <c r="G14" s="10">
        <f t="shared" si="0"/>
        <v>0.23094497683569207</v>
      </c>
      <c r="H14" s="10">
        <f t="shared" si="0"/>
        <v>0.23757773729505621</v>
      </c>
      <c r="I14" s="10">
        <f t="shared" si="0"/>
        <v>0.22997384587312208</v>
      </c>
      <c r="J14" s="10">
        <f t="shared" si="0"/>
        <v>0.23466454651091675</v>
      </c>
      <c r="K14" s="10">
        <f t="shared" si="0"/>
        <v>0.22761086442535033</v>
      </c>
    </row>
    <row r="22" s="2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E58F4-1114-456A-A742-7C0932DE9E9A}">
  <sheetPr>
    <tabColor rgb="FF1B2A63"/>
  </sheetPr>
  <dimension ref="B2:L36"/>
  <sheetViews>
    <sheetView showGridLines="0" topLeftCell="A25" zoomScale="128" workbookViewId="0">
      <selection activeCell="M15" sqref="M15"/>
    </sheetView>
  </sheetViews>
  <sheetFormatPr defaultRowHeight="14.4" x14ac:dyDescent="0.3"/>
  <cols>
    <col min="1" max="1" width="3" customWidth="1"/>
    <col min="2" max="2" width="22.88671875" bestFit="1" customWidth="1"/>
    <col min="3" max="3" width="11" bestFit="1" customWidth="1"/>
  </cols>
  <sheetData>
    <row r="2" spans="2:12" ht="18.75" customHeight="1" x14ac:dyDescent="0.3">
      <c r="B2" s="356" t="s">
        <v>237</v>
      </c>
      <c r="C2" s="356"/>
      <c r="D2" s="356"/>
      <c r="E2" s="356"/>
      <c r="F2" s="356"/>
      <c r="G2" s="356"/>
      <c r="H2" s="356"/>
      <c r="I2" s="356"/>
      <c r="J2" s="356"/>
      <c r="K2" s="356"/>
      <c r="L2" s="356"/>
    </row>
    <row r="3" spans="2:12" ht="18" customHeight="1" x14ac:dyDescent="0.3">
      <c r="B3" s="72" t="s">
        <v>212</v>
      </c>
      <c r="C3" s="73" t="s">
        <v>177</v>
      </c>
      <c r="D3" s="73" t="s">
        <v>178</v>
      </c>
      <c r="E3" s="73" t="s">
        <v>179</v>
      </c>
      <c r="F3" s="73" t="s">
        <v>180</v>
      </c>
      <c r="G3" s="73" t="s">
        <v>181</v>
      </c>
      <c r="H3" s="73" t="s">
        <v>182</v>
      </c>
      <c r="I3" s="73" t="s">
        <v>183</v>
      </c>
      <c r="J3" s="73" t="s">
        <v>184</v>
      </c>
      <c r="K3" s="73" t="s">
        <v>185</v>
      </c>
      <c r="L3" s="73" t="s">
        <v>186</v>
      </c>
    </row>
    <row r="4" spans="2:12" s="2" customFormat="1" ht="15" customHeight="1" x14ac:dyDescent="0.3">
      <c r="B4" s="81" t="s">
        <v>6</v>
      </c>
      <c r="C4" s="82">
        <f>'Data Sheet'!B17/'Data Sheet'!B$17</f>
        <v>1</v>
      </c>
      <c r="D4" s="82">
        <f>'Data Sheet'!C17/'Data Sheet'!C$17</f>
        <v>1</v>
      </c>
      <c r="E4" s="82">
        <f>'Data Sheet'!D17/'Data Sheet'!D$17</f>
        <v>1</v>
      </c>
      <c r="F4" s="82">
        <f>'Data Sheet'!E17/'Data Sheet'!E$17</f>
        <v>1</v>
      </c>
      <c r="G4" s="82">
        <f>'Data Sheet'!F17/'Data Sheet'!F$17</f>
        <v>1</v>
      </c>
      <c r="H4" s="82">
        <f>'Data Sheet'!G17/'Data Sheet'!G$17</f>
        <v>1</v>
      </c>
      <c r="I4" s="82">
        <f>'Data Sheet'!H17/'Data Sheet'!H$17</f>
        <v>1</v>
      </c>
      <c r="J4" s="82">
        <f>'Data Sheet'!I17/'Data Sheet'!I$17</f>
        <v>1</v>
      </c>
      <c r="K4" s="82">
        <f>'Data Sheet'!J17/'Data Sheet'!J$17</f>
        <v>1</v>
      </c>
      <c r="L4" s="82">
        <f>'Data Sheet'!K17/'Data Sheet'!K$17</f>
        <v>1</v>
      </c>
    </row>
    <row r="5" spans="2:12" ht="15" customHeight="1" x14ac:dyDescent="0.3">
      <c r="B5" s="83" t="s">
        <v>71</v>
      </c>
      <c r="C5" s="93">
        <f>'Data Sheet'!B18/'Data Sheet'!B$17</f>
        <v>0.41028888486822268</v>
      </c>
      <c r="D5" s="93">
        <f>'Data Sheet'!C18/'Data Sheet'!C$17</f>
        <v>0.40042200028133351</v>
      </c>
      <c r="E5" s="93">
        <f>'Data Sheet'!D18/'Data Sheet'!D$17</f>
        <v>0.40307809717629101</v>
      </c>
      <c r="F5" s="93">
        <f>'Data Sheet'!E18/'Data Sheet'!E$17</f>
        <v>0.39456551793479627</v>
      </c>
      <c r="G5" s="93">
        <f>'Data Sheet'!F18/'Data Sheet'!F$17</f>
        <v>0.42827677128519182</v>
      </c>
      <c r="H5" s="93">
        <f>'Data Sheet'!G18/'Data Sheet'!G$17</f>
        <v>0.43608664149792165</v>
      </c>
      <c r="I5" s="93">
        <f>'Data Sheet'!H18/'Data Sheet'!H$17</f>
        <v>0.46924727632882141</v>
      </c>
      <c r="J5" s="93">
        <f>'Data Sheet'!I18/'Data Sheet'!I$17</f>
        <v>0.43333979578648057</v>
      </c>
      <c r="K5" s="93">
        <f>'Data Sheet'!J18/'Data Sheet'!J$17</f>
        <v>0.43376597965040437</v>
      </c>
      <c r="L5" s="93">
        <f>'Data Sheet'!K18/'Data Sheet'!K$17</f>
        <v>0.45228640565862133</v>
      </c>
    </row>
    <row r="6" spans="2:12" ht="15" customHeight="1" x14ac:dyDescent="0.3">
      <c r="B6" s="83" t="s">
        <v>72</v>
      </c>
      <c r="C6" s="93">
        <f>'Data Sheet'!B19/'Data Sheet'!B$17</f>
        <v>-4.3423195223448521E-3</v>
      </c>
      <c r="D6" s="93">
        <f>'Data Sheet'!C19/'Data Sheet'!C$17</f>
        <v>2.0256013504009003E-3</v>
      </c>
      <c r="E6" s="93">
        <f>'Data Sheet'!D19/'Data Sheet'!D$17</f>
        <v>-3.0526583566522515E-4</v>
      </c>
      <c r="F6" s="93">
        <f>'Data Sheet'!E19/'Data Sheet'!E$17</f>
        <v>2.7147273961239727E-3</v>
      </c>
      <c r="G6" s="93">
        <f>'Data Sheet'!F19/'Data Sheet'!F$17</f>
        <v>8.6118907884664454E-3</v>
      </c>
      <c r="H6" s="93">
        <f>'Data Sheet'!G19/'Data Sheet'!G$17</f>
        <v>4.1947908324753078E-4</v>
      </c>
      <c r="I6" s="93">
        <f>'Data Sheet'!H19/'Data Sheet'!H$17</f>
        <v>1.2380323539121821E-3</v>
      </c>
      <c r="J6" s="93">
        <f>'Data Sheet'!I19/'Data Sheet'!I$17</f>
        <v>1.7771746154840378E-4</v>
      </c>
      <c r="K6" s="93">
        <f>'Data Sheet'!J19/'Data Sheet'!J$17</f>
        <v>2.0382207148447692E-3</v>
      </c>
      <c r="L6" s="93">
        <f>'Data Sheet'!K19/'Data Sheet'!K$17</f>
        <v>6.6544642303158156E-3</v>
      </c>
    </row>
    <row r="7" spans="2:12" ht="15" customHeight="1" x14ac:dyDescent="0.3">
      <c r="B7" s="83" t="s">
        <v>73</v>
      </c>
      <c r="C7" s="93">
        <f>'Data Sheet'!B20/'Data Sheet'!B$17</f>
        <v>8.8957240214703574E-3</v>
      </c>
      <c r="D7" s="93">
        <f>'Data Sheet'!C20/'Data Sheet'!C$17</f>
        <v>8.2993388662259103E-3</v>
      </c>
      <c r="E7" s="93">
        <f>'Data Sheet'!D20/'Data Sheet'!D$17</f>
        <v>7.8351564487407783E-3</v>
      </c>
      <c r="F7" s="93">
        <f>'Data Sheet'!E20/'Data Sheet'!E$17</f>
        <v>7.5157730688987755E-3</v>
      </c>
      <c r="G7" s="93">
        <f>'Data Sheet'!F20/'Data Sheet'!F$17</f>
        <v>7.2084715488645061E-3</v>
      </c>
      <c r="H7" s="93">
        <f>'Data Sheet'!G20/'Data Sheet'!G$17</f>
        <v>6.0633794760324902E-3</v>
      </c>
      <c r="I7" s="93">
        <f>'Data Sheet'!H20/'Data Sheet'!H$17</f>
        <v>6.3387256520303732E-3</v>
      </c>
      <c r="J7" s="93">
        <f>'Data Sheet'!I20/'Data Sheet'!I$17</f>
        <v>7.2056352591443711E-3</v>
      </c>
      <c r="K7" s="93">
        <f>'Data Sheet'!J20/'Data Sheet'!J$17</f>
        <v>6.5712235846595354E-3</v>
      </c>
      <c r="L7" s="93">
        <f>'Data Sheet'!K20/'Data Sheet'!K$17</f>
        <v>6.6079295154185024E-3</v>
      </c>
    </row>
    <row r="8" spans="2:12" ht="15" customHeight="1" x14ac:dyDescent="0.3">
      <c r="B8" s="83" t="s">
        <v>74</v>
      </c>
      <c r="C8" s="93">
        <f>'Data Sheet'!B21/'Data Sheet'!B$17</f>
        <v>8.7057475423677699E-2</v>
      </c>
      <c r="D8" s="93">
        <f>'Data Sheet'!C21/'Data Sheet'!C$17</f>
        <v>8.4343789562526375E-2</v>
      </c>
      <c r="E8" s="93">
        <f>'Data Sheet'!D21/'Data Sheet'!D$17</f>
        <v>7.7359450521495801E-2</v>
      </c>
      <c r="F8" s="93">
        <f>'Data Sheet'!E21/'Data Sheet'!E$17</f>
        <v>7.3046276047558006E-2</v>
      </c>
      <c r="G8" s="93">
        <f>'Data Sheet'!F21/'Data Sheet'!F$17</f>
        <v>6.0984945139066091E-2</v>
      </c>
      <c r="H8" s="93">
        <f>'Data Sheet'!G21/'Data Sheet'!G$17</f>
        <v>6.3951492964191739E-2</v>
      </c>
      <c r="I8" s="93">
        <f>'Data Sheet'!H21/'Data Sheet'!H$17</f>
        <v>6.2578408715747769E-2</v>
      </c>
      <c r="J8" s="93">
        <f>'Data Sheet'!I21/'Data Sheet'!I$17</f>
        <v>5.4688509758304249E-2</v>
      </c>
      <c r="K8" s="93">
        <f>'Data Sheet'!J21/'Data Sheet'!J$17</f>
        <v>6.0119358205061313E-2</v>
      </c>
      <c r="L8" s="93">
        <f>'Data Sheet'!K21/'Data Sheet'!K$17</f>
        <v>5.1250232673574488E-2</v>
      </c>
    </row>
    <row r="9" spans="2:12" ht="15" customHeight="1" x14ac:dyDescent="0.3">
      <c r="B9" s="83" t="s">
        <v>75</v>
      </c>
      <c r="C9" s="93">
        <f>'Data Sheet'!B22/'Data Sheet'!B$17</f>
        <v>5.2560159218382488E-2</v>
      </c>
      <c r="D9" s="93">
        <f>'Data Sheet'!C22/'Data Sheet'!C$17</f>
        <v>5.2328034885356589E-2</v>
      </c>
      <c r="E9" s="93">
        <f>'Data Sheet'!D22/'Data Sheet'!D$17</f>
        <v>4.7697786822691428E-2</v>
      </c>
      <c r="F9" s="93">
        <f>'Data Sheet'!E22/'Data Sheet'!E$17</f>
        <v>4.574818389764472E-2</v>
      </c>
      <c r="G9" s="93">
        <f>'Data Sheet'!F22/'Data Sheet'!F$17</f>
        <v>5.0140341923960191E-2</v>
      </c>
      <c r="H9" s="93">
        <f>'Data Sheet'!G22/'Data Sheet'!G$17</f>
        <v>4.8526103039316627E-2</v>
      </c>
      <c r="I9" s="93">
        <f>'Data Sheet'!H22/'Data Sheet'!H$17</f>
        <v>4.7111257840871577E-2</v>
      </c>
      <c r="J9" s="93">
        <f>'Data Sheet'!I22/'Data Sheet'!I$17</f>
        <v>4.8613803799922452E-2</v>
      </c>
      <c r="K9" s="93">
        <f>'Data Sheet'!J22/'Data Sheet'!J$17</f>
        <v>4.8134620401774068E-2</v>
      </c>
      <c r="L9" s="93">
        <f>'Data Sheet'!K22/'Data Sheet'!K$17</f>
        <v>4.9249239932990012E-2</v>
      </c>
    </row>
    <row r="10" spans="2:12" ht="15" customHeight="1" x14ac:dyDescent="0.3">
      <c r="B10" s="83" t="s">
        <v>76</v>
      </c>
      <c r="C10" s="93">
        <f>'Data Sheet'!B23/'Data Sheet'!B$17</f>
        <v>0.20170677281225499</v>
      </c>
      <c r="D10" s="93">
        <f>'Data Sheet'!C23/'Data Sheet'!C$17</f>
        <v>0.20402306934871289</v>
      </c>
      <c r="E10" s="93">
        <f>'Data Sheet'!D23/'Data Sheet'!D$17</f>
        <v>0.19832103790384126</v>
      </c>
      <c r="F10" s="93">
        <f>'Data Sheet'!E23/'Data Sheet'!E$17</f>
        <v>0.19153909961541363</v>
      </c>
      <c r="G10" s="93">
        <f>'Data Sheet'!F23/'Data Sheet'!F$17</f>
        <v>0.16811261376201411</v>
      </c>
      <c r="H10" s="93">
        <f>'Data Sheet'!G23/'Data Sheet'!G$17</f>
        <v>0.15566487434694734</v>
      </c>
      <c r="I10" s="93">
        <f>'Data Sheet'!H23/'Data Sheet'!H$17</f>
        <v>0.14501485638824696</v>
      </c>
      <c r="J10" s="93">
        <f>'Data Sheet'!I23/'Data Sheet'!I$17</f>
        <v>0.1741631123174357</v>
      </c>
      <c r="K10" s="93">
        <f>'Data Sheet'!J23/'Data Sheet'!J$17</f>
        <v>0.16542199321680146</v>
      </c>
      <c r="L10" s="93">
        <f>'Data Sheet'!K23/'Data Sheet'!K$17</f>
        <v>0.16665632561891172</v>
      </c>
    </row>
    <row r="11" spans="2:12" ht="15" customHeight="1" x14ac:dyDescent="0.3">
      <c r="B11" s="83" t="s">
        <v>77</v>
      </c>
      <c r="C11" s="93">
        <f>'Data Sheet'!B24/'Data Sheet'!B$17</f>
        <v>4.4327845123937039E-2</v>
      </c>
      <c r="D11" s="93">
        <f>'Data Sheet'!C24/'Data Sheet'!C$17</f>
        <v>4.1637361091574059E-2</v>
      </c>
      <c r="E11" s="93">
        <f>'Data Sheet'!D24/'Data Sheet'!D$17</f>
        <v>3.9506486899007889E-2</v>
      </c>
      <c r="F11" s="93">
        <f>'Data Sheet'!E24/'Data Sheet'!E$17</f>
        <v>4.2430183746826534E-2</v>
      </c>
      <c r="G11" s="93">
        <f>'Data Sheet'!F24/'Data Sheet'!F$17</f>
        <v>4.6674321680700862E-2</v>
      </c>
      <c r="H11" s="93">
        <f>'Data Sheet'!G24/'Data Sheet'!G$17</f>
        <v>4.4979598062769327E-2</v>
      </c>
      <c r="I11" s="93">
        <f>'Data Sheet'!H24/'Data Sheet'!H$17</f>
        <v>3.742159128425223E-2</v>
      </c>
      <c r="J11" s="93">
        <f>'Data Sheet'!I24/'Data Sheet'!I$17</f>
        <v>4.5334108827711002E-2</v>
      </c>
      <c r="K11" s="93">
        <f>'Data Sheet'!J24/'Data Sheet'!J$17</f>
        <v>4.8362901121836679E-2</v>
      </c>
      <c r="L11" s="93">
        <f>'Data Sheet'!K24/'Data Sheet'!K$17</f>
        <v>4.7325805050567722E-2</v>
      </c>
    </row>
    <row r="12" spans="2:12" ht="15" customHeight="1" x14ac:dyDescent="0.3">
      <c r="B12" s="83" t="s">
        <v>9</v>
      </c>
      <c r="C12" s="93">
        <f>'Data Sheet'!B25/'Data Sheet'!B$17</f>
        <v>1.8273927989867923E-2</v>
      </c>
      <c r="D12" s="93">
        <f>'Data Sheet'!C25/'Data Sheet'!C$17</f>
        <v>9.9310732873821913E-3</v>
      </c>
      <c r="E12" s="93">
        <f>'Data Sheet'!D25/'Data Sheet'!D$17</f>
        <v>8.1912999236835402E-3</v>
      </c>
      <c r="F12" s="93">
        <f>'Data Sheet'!E25/'Data Sheet'!E$17</f>
        <v>1.0657818666264484E-2</v>
      </c>
      <c r="G12" s="93">
        <f>'Data Sheet'!F25/'Data Sheet'!F$17</f>
        <v>3.6148677383686313E-3</v>
      </c>
      <c r="H12" s="93">
        <f>'Data Sheet'!G25/'Data Sheet'!G$17</f>
        <v>4.1757236014186017E-3</v>
      </c>
      <c r="I12" s="93">
        <f>'Data Sheet'!H25/'Data Sheet'!H$17</f>
        <v>7.3951799273687686E-3</v>
      </c>
      <c r="J12" s="93">
        <f>'Data Sheet'!I25/'Data Sheet'!I$17</f>
        <v>1.3199560553185989E-2</v>
      </c>
      <c r="K12" s="93">
        <f>'Data Sheet'!J25/'Data Sheet'!J$17</f>
        <v>2.2094312548917298E-2</v>
      </c>
      <c r="L12" s="93">
        <f>'Data Sheet'!K25/'Data Sheet'!K$17</f>
        <v>7.6363467146491282E-2</v>
      </c>
    </row>
    <row r="13" spans="2:12" ht="15" customHeight="1" x14ac:dyDescent="0.3">
      <c r="B13" s="83" t="s">
        <v>10</v>
      </c>
      <c r="C13" s="93">
        <f>'Data Sheet'!B26/'Data Sheet'!B$17</f>
        <v>1.3026958567034558E-2</v>
      </c>
      <c r="D13" s="93">
        <f>'Data Sheet'!C26/'Data Sheet'!C$17</f>
        <v>1.4629343086228723E-2</v>
      </c>
      <c r="E13" s="93">
        <f>'Data Sheet'!D26/'Data Sheet'!D$17</f>
        <v>1.437293309590435E-2</v>
      </c>
      <c r="F13" s="93">
        <f>'Data Sheet'!E26/'Data Sheet'!E$17</f>
        <v>2.5186637508483524E-2</v>
      </c>
      <c r="G13" s="93">
        <f>'Data Sheet'!F26/'Data Sheet'!F$17</f>
        <v>2.2837458535340648E-2</v>
      </c>
      <c r="H13" s="93">
        <f>'Data Sheet'!G26/'Data Sheet'!G$17</f>
        <v>2.0802349082866187E-2</v>
      </c>
      <c r="I13" s="93">
        <f>'Data Sheet'!H26/'Data Sheet'!H$17</f>
        <v>1.8768570485308684E-2</v>
      </c>
      <c r="J13" s="93">
        <f>'Data Sheet'!I26/'Data Sheet'!I$17</f>
        <v>1.9645857567532635E-2</v>
      </c>
      <c r="K13" s="93">
        <f>'Data Sheet'!J26/'Data Sheet'!J$17</f>
        <v>2.0431124445603965E-2</v>
      </c>
      <c r="L13" s="93">
        <f>'Data Sheet'!K26/'Data Sheet'!K$17</f>
        <v>2.0676924986039586E-2</v>
      </c>
    </row>
    <row r="14" spans="2:12" ht="15" customHeight="1" x14ac:dyDescent="0.3">
      <c r="B14" s="83" t="s">
        <v>11</v>
      </c>
      <c r="C14" s="93">
        <f>'Data Sheet'!B27/'Data Sheet'!B$17</f>
        <v>1.0554248839032628E-3</v>
      </c>
      <c r="D14" s="93">
        <f>'Data Sheet'!C27/'Data Sheet'!C$17</f>
        <v>7.3146715431143621E-4</v>
      </c>
      <c r="E14" s="93">
        <f>'Data Sheet'!D27/'Data Sheet'!D$17</f>
        <v>8.3948104807936915E-4</v>
      </c>
      <c r="F14" s="93">
        <f>'Data Sheet'!E27/'Data Sheet'!E$17</f>
        <v>2.9660910439132291E-3</v>
      </c>
      <c r="G14" s="93">
        <f>'Data Sheet'!F27/'Data Sheet'!F$17</f>
        <v>2.4878795611125285E-3</v>
      </c>
      <c r="H14" s="93">
        <f>'Data Sheet'!G27/'Data Sheet'!G$17</f>
        <v>2.0211264920108303E-3</v>
      </c>
      <c r="I14" s="93">
        <f>'Data Sheet'!H27/'Data Sheet'!H$17</f>
        <v>1.881809177946517E-3</v>
      </c>
      <c r="J14" s="93">
        <f>'Data Sheet'!I27/'Data Sheet'!I$17</f>
        <v>5.3961483779242604E-3</v>
      </c>
      <c r="K14" s="93">
        <f>'Data Sheet'!J27/'Data Sheet'!J$17</f>
        <v>6.2124967388468566E-3</v>
      </c>
      <c r="L14" s="93">
        <f>'Data Sheet'!K27/'Data Sheet'!K$17</f>
        <v>6.3597443692994977E-3</v>
      </c>
    </row>
    <row r="15" spans="2:12" ht="15" customHeight="1" x14ac:dyDescent="0.3">
      <c r="B15" s="83" t="s">
        <v>12</v>
      </c>
      <c r="C15" s="93">
        <f>'Data Sheet'!B28/'Data Sheet'!B$17</f>
        <v>0.19501236354864002</v>
      </c>
      <c r="D15" s="93">
        <f>'Data Sheet'!C28/'Data Sheet'!C$17</f>
        <v>0.20554227036151357</v>
      </c>
      <c r="E15" s="93">
        <f>'Data Sheet'!D28/'Data Sheet'!D$17</f>
        <v>0.21887560417196641</v>
      </c>
      <c r="F15" s="93">
        <f>'Data Sheet'!E28/'Data Sheet'!E$17</f>
        <v>0.23037478319885379</v>
      </c>
      <c r="G15" s="93">
        <f>'Data Sheet'!F28/'Data Sheet'!F$17</f>
        <v>0.22550395509058432</v>
      </c>
      <c r="H15" s="93">
        <f>'Data Sheet'!G28/'Data Sheet'!G$17</f>
        <v>0.22649963772260992</v>
      </c>
      <c r="I15" s="93">
        <f>'Data Sheet'!H28/'Data Sheet'!H$17</f>
        <v>0.22027071640805546</v>
      </c>
      <c r="J15" s="93">
        <f>'Data Sheet'!I28/'Data Sheet'!I$17</f>
        <v>0.22499030632027917</v>
      </c>
      <c r="K15" s="93">
        <f>'Data Sheet'!J28/'Data Sheet'!J$17</f>
        <v>0.2351128358987738</v>
      </c>
      <c r="L15" s="93">
        <f>'Data Sheet'!K28/'Data Sheet'!K$17</f>
        <v>0.28260532357138424</v>
      </c>
    </row>
    <row r="16" spans="2:12" ht="15" customHeight="1" x14ac:dyDescent="0.3">
      <c r="B16" s="83" t="s">
        <v>13</v>
      </c>
      <c r="C16" s="93">
        <f>'Data Sheet'!B29/'Data Sheet'!B$17</f>
        <v>5.9616428442192872E-2</v>
      </c>
      <c r="D16" s="93">
        <f>'Data Sheet'!C29/'Data Sheet'!C$17</f>
        <v>5.8489238992825994E-2</v>
      </c>
      <c r="E16" s="93">
        <f>'Data Sheet'!D29/'Data Sheet'!D$17</f>
        <v>6.4716357161027735E-2</v>
      </c>
      <c r="F16" s="93">
        <f>'Data Sheet'!E29/'Data Sheet'!E$17</f>
        <v>6.0553502752431945E-2</v>
      </c>
      <c r="G16" s="93">
        <f>'Data Sheet'!F29/'Data Sheet'!F$17</f>
        <v>5.5413796036403846E-2</v>
      </c>
      <c r="H16" s="93">
        <f>'Data Sheet'!G29/'Data Sheet'!G$17</f>
        <v>5.6953819166380655E-2</v>
      </c>
      <c r="I16" s="93">
        <f>'Data Sheet'!H29/'Data Sheet'!H$17</f>
        <v>5.2839220864971941E-2</v>
      </c>
      <c r="J16" s="93">
        <f>'Data Sheet'!I29/'Data Sheet'!I$17</f>
        <v>5.8872948171125761E-2</v>
      </c>
      <c r="K16" s="93">
        <f>'Data Sheet'!J29/'Data Sheet'!J$17</f>
        <v>6.1114009913905559E-2</v>
      </c>
      <c r="L16" s="93">
        <f>'Data Sheet'!K29/'Data Sheet'!K$17</f>
        <v>4.9016566358503447E-2</v>
      </c>
    </row>
    <row r="17" spans="2:12" ht="15" customHeight="1" x14ac:dyDescent="0.3">
      <c r="B17" s="83" t="s">
        <v>14</v>
      </c>
      <c r="C17" s="93">
        <f>'Data Sheet'!B30/'Data Sheet'!B$17</f>
        <v>0.13497376515288584</v>
      </c>
      <c r="D17" s="93">
        <f>'Data Sheet'!C30/'Data Sheet'!C$17</f>
        <v>0.14668729779153186</v>
      </c>
      <c r="E17" s="93">
        <f>'Data Sheet'!D30/'Data Sheet'!D$17</f>
        <v>0.15400661409310609</v>
      </c>
      <c r="F17" s="93">
        <f>'Data Sheet'!E30/'Data Sheet'!E$17</f>
        <v>0.16962018952819044</v>
      </c>
      <c r="G17" s="93">
        <f>'Data Sheet'!F30/'Data Sheet'!F$17</f>
        <v>0.17000510334268945</v>
      </c>
      <c r="H17" s="93">
        <f>'Data Sheet'!G30/'Data Sheet'!G$17</f>
        <v>0.16929794455249209</v>
      </c>
      <c r="I17" s="93">
        <f>'Data Sheet'!H30/'Data Sheet'!H$17</f>
        <v>0.16705183228788378</v>
      </c>
      <c r="J17" s="93">
        <f>'Data Sheet'!I30/'Data Sheet'!I$17</f>
        <v>0.16603657748481324</v>
      </c>
      <c r="K17" s="93">
        <f>'Data Sheet'!J30/'Data Sheet'!J$17</f>
        <v>0.17364009913905556</v>
      </c>
      <c r="L17" s="93">
        <f>'Data Sheet'!K30/'Data Sheet'!K$17</f>
        <v>0.23329403735186449</v>
      </c>
    </row>
    <row r="18" spans="2:12" ht="15" customHeight="1" x14ac:dyDescent="0.3">
      <c r="B18" s="83" t="s">
        <v>61</v>
      </c>
      <c r="C18" s="93">
        <f>'Data Sheet'!B31/'Data Sheet'!B$17</f>
        <v>0.11072914781979373</v>
      </c>
      <c r="D18" s="93">
        <f>'Data Sheet'!C31/'Data Sheet'!C$17</f>
        <v>0.12153608102405401</v>
      </c>
      <c r="E18" s="93">
        <f>'Data Sheet'!D31/'Data Sheet'!D$17</f>
        <v>0.12088527092342916</v>
      </c>
      <c r="F18" s="93">
        <f>'Data Sheet'!E31/'Data Sheet'!E$17</f>
        <v>0.13573636980619863</v>
      </c>
      <c r="G18" s="93">
        <f>'Data Sheet'!F31/'Data Sheet'!F$17</f>
        <v>0.20237943352896148</v>
      </c>
      <c r="H18" s="93">
        <f>'Data Sheet'!G31/'Data Sheet'!G$17</f>
        <v>0.15234717614308049</v>
      </c>
      <c r="I18" s="93">
        <f>'Data Sheet'!H31/'Data Sheet'!H$17</f>
        <v>0.15128755364806867</v>
      </c>
      <c r="J18" s="93">
        <f>'Data Sheet'!I31/'Data Sheet'!I$17</f>
        <v>0.1594610314075223</v>
      </c>
      <c r="K18" s="93">
        <f>'Data Sheet'!J31/'Data Sheet'!J$17</f>
        <v>0.20308831202713279</v>
      </c>
      <c r="L18" s="93">
        <f>'Data Sheet'!K31/'Data Sheet'!K$17</f>
        <v>0.14945399267853818</v>
      </c>
    </row>
    <row r="19" spans="2:12" s="2" customFormat="1" ht="15" customHeight="1" x14ac:dyDescent="0.3">
      <c r="B19" s="84" t="s">
        <v>124</v>
      </c>
      <c r="C19" s="94">
        <f>SUM('Data Sheet'!B26:B28)/'Data Sheet'!B$17</f>
        <v>0.20909474699957784</v>
      </c>
      <c r="D19" s="94">
        <f>SUM('Data Sheet'!C26:C28)/'Data Sheet'!C$17</f>
        <v>0.22090308060205374</v>
      </c>
      <c r="E19" s="94">
        <f>SUM('Data Sheet'!D26:D28)/'Data Sheet'!D$17</f>
        <v>0.23408801831595014</v>
      </c>
      <c r="F19" s="94">
        <f>SUM('Data Sheet'!E26:E28)/'Data Sheet'!E$17</f>
        <v>0.25852751175125055</v>
      </c>
      <c r="G19" s="94">
        <f>SUM('Data Sheet'!F26:F28)/'Data Sheet'!F$17</f>
        <v>0.25082929318703751</v>
      </c>
      <c r="H19" s="94">
        <f>SUM('Data Sheet'!G26:G28)/'Data Sheet'!G$17</f>
        <v>0.24932311329748694</v>
      </c>
      <c r="I19" s="94">
        <f>SUM('Data Sheet'!H26:H28)/'Data Sheet'!H$17</f>
        <v>0.24092109607131065</v>
      </c>
      <c r="J19" s="94">
        <f>SUM('Data Sheet'!I26:I28)/'Data Sheet'!I$17</f>
        <v>0.25003231226573608</v>
      </c>
      <c r="K19" s="94">
        <f>SUM('Data Sheet'!J26:J28)/'Data Sheet'!J$17</f>
        <v>0.26175645708322465</v>
      </c>
      <c r="L19" s="94">
        <f>SUM('Data Sheet'!K26:K28)/'Data Sheet'!K$17</f>
        <v>0.30964199292672334</v>
      </c>
    </row>
    <row r="20" spans="2:12" x14ac:dyDescent="0.3">
      <c r="C20" s="80" t="s">
        <v>81</v>
      </c>
    </row>
    <row r="21" spans="2:12" ht="18.75" customHeight="1" x14ac:dyDescent="0.3">
      <c r="B21" s="356" t="s">
        <v>238</v>
      </c>
      <c r="C21" s="356"/>
      <c r="D21" s="356"/>
      <c r="E21" s="356"/>
      <c r="F21" s="356"/>
      <c r="G21" s="356"/>
      <c r="H21" s="356"/>
      <c r="I21" s="356"/>
      <c r="J21" s="356"/>
      <c r="K21" s="356"/>
      <c r="L21" s="356"/>
    </row>
    <row r="22" spans="2:12" ht="15.75" customHeight="1" x14ac:dyDescent="0.3">
      <c r="B22" s="357" t="s">
        <v>239</v>
      </c>
      <c r="C22" s="357"/>
      <c r="D22" s="357"/>
      <c r="E22" s="357"/>
      <c r="F22" s="357"/>
      <c r="G22" s="357"/>
      <c r="H22" s="357"/>
      <c r="I22" s="357"/>
      <c r="J22" s="357"/>
      <c r="K22" s="357"/>
      <c r="L22" s="357"/>
    </row>
    <row r="23" spans="2:12" ht="18" customHeight="1" x14ac:dyDescent="0.3">
      <c r="B23" s="72" t="s">
        <v>212</v>
      </c>
      <c r="C23" s="73" t="s">
        <v>177</v>
      </c>
      <c r="D23" s="73" t="s">
        <v>178</v>
      </c>
      <c r="E23" s="73" t="s">
        <v>179</v>
      </c>
      <c r="F23" s="73" t="s">
        <v>180</v>
      </c>
      <c r="G23" s="73" t="s">
        <v>181</v>
      </c>
      <c r="H23" s="73" t="s">
        <v>182</v>
      </c>
      <c r="I23" s="73" t="s">
        <v>183</v>
      </c>
      <c r="J23" s="73" t="s">
        <v>184</v>
      </c>
      <c r="K23" s="73" t="s">
        <v>185</v>
      </c>
      <c r="L23" s="73" t="s">
        <v>186</v>
      </c>
    </row>
    <row r="24" spans="2:12" ht="15" customHeight="1" x14ac:dyDescent="0.3">
      <c r="B24" s="83" t="s">
        <v>24</v>
      </c>
      <c r="C24" s="93">
        <f>'Data Sheet'!B57/'Data Sheet'!B$61</f>
        <v>1.3752705972239909E-2</v>
      </c>
      <c r="D24" s="93">
        <f>'Data Sheet'!C57/'Data Sheet'!C$61</f>
        <v>1.2092710782667115E-2</v>
      </c>
      <c r="E24" s="93">
        <f>'Data Sheet'!D57/'Data Sheet'!D$61</f>
        <v>1.1594825272424714E-2</v>
      </c>
      <c r="F24" s="93">
        <f>'Data Sheet'!E57/'Data Sheet'!E$61</f>
        <v>1.0718007244578972E-2</v>
      </c>
      <c r="G24" s="93">
        <f>'Data Sheet'!F57/'Data Sheet'!F$61</f>
        <v>3.4186790805935409E-3</v>
      </c>
      <c r="H24" s="93">
        <f>'Data Sheet'!G57/'Data Sheet'!G$61</f>
        <v>3.3330496695316712E-3</v>
      </c>
      <c r="I24" s="93">
        <f>'Data Sheet'!H57/'Data Sheet'!H$61</f>
        <v>3.2157860886462223E-3</v>
      </c>
      <c r="J24" s="93">
        <f>'Data Sheet'!I57/'Data Sheet'!I$61</f>
        <v>2.9940501216731007E-3</v>
      </c>
      <c r="K24" s="93">
        <f>'Data Sheet'!J57/'Data Sheet'!J$61</f>
        <v>2.9425390982056772E-3</v>
      </c>
      <c r="L24" s="93">
        <f>'Data Sheet'!K57/'Data Sheet'!K$61</f>
        <v>2.9471519225463391E-3</v>
      </c>
    </row>
    <row r="25" spans="2:12" ht="15" customHeight="1" x14ac:dyDescent="0.3">
      <c r="B25" s="83" t="s">
        <v>240</v>
      </c>
      <c r="C25" s="93">
        <f>'Data Sheet'!B58/'Data Sheet'!B$61</f>
        <v>0.41563733604991721</v>
      </c>
      <c r="D25" s="93">
        <f>'Data Sheet'!C58/'Data Sheet'!C$61</f>
        <v>0.3955324151830702</v>
      </c>
      <c r="E25" s="93">
        <f>'Data Sheet'!D58/'Data Sheet'!D$61</f>
        <v>0.41070374147834021</v>
      </c>
      <c r="F25" s="93">
        <f>'Data Sheet'!E58/'Data Sheet'!E$61</f>
        <v>0.39760829653153379</v>
      </c>
      <c r="G25" s="93">
        <f>'Data Sheet'!F58/'Data Sheet'!F$61</f>
        <v>0.69012219959266807</v>
      </c>
      <c r="H25" s="93">
        <f>'Data Sheet'!G58/'Data Sheet'!G$61</f>
        <v>0.69250843899809944</v>
      </c>
      <c r="I25" s="93">
        <f>'Data Sheet'!H58/'Data Sheet'!H$61</f>
        <v>0.68515401562735201</v>
      </c>
      <c r="J25" s="93">
        <f>'Data Sheet'!I58/'Data Sheet'!I$61</f>
        <v>0.64955598873727527</v>
      </c>
      <c r="K25" s="93">
        <f>'Data Sheet'!J58/'Data Sheet'!J$61</f>
        <v>0.6156417865594831</v>
      </c>
      <c r="L25" s="93">
        <f>'Data Sheet'!K58/'Data Sheet'!K$61</f>
        <v>0.60829215681356441</v>
      </c>
    </row>
    <row r="26" spans="2:12" ht="15" customHeight="1" x14ac:dyDescent="0.3">
      <c r="B26" s="83" t="s">
        <v>62</v>
      </c>
      <c r="C26" s="93">
        <f>'Data Sheet'!B59/'Data Sheet'!B$61</f>
        <v>1.7636572010696547E-2</v>
      </c>
      <c r="D26" s="93">
        <f>'Data Sheet'!C59/'Data Sheet'!C$61</f>
        <v>0</v>
      </c>
      <c r="E26" s="93">
        <f>'Data Sheet'!D59/'Data Sheet'!D$61</f>
        <v>5.3142949165279939E-3</v>
      </c>
      <c r="F26" s="93">
        <f>'Data Sheet'!E59/'Data Sheet'!E$61</f>
        <v>0</v>
      </c>
      <c r="G26" s="93">
        <f>'Data Sheet'!F59/'Data Sheet'!F$61</f>
        <v>0</v>
      </c>
      <c r="H26" s="93">
        <f>'Data Sheet'!G59/'Data Sheet'!G$61</f>
        <v>1.4793067256687375E-2</v>
      </c>
      <c r="I26" s="93">
        <f>'Data Sheet'!H59/'Data Sheet'!H$61</f>
        <v>1.668103507259466E-2</v>
      </c>
      <c r="J26" s="93">
        <f>'Data Sheet'!I59/'Data Sheet'!I$61</f>
        <v>1.8907108002395239E-2</v>
      </c>
      <c r="K26" s="93">
        <f>'Data Sheet'!J59/'Data Sheet'!J$61</f>
        <v>2.0635338016353005E-2</v>
      </c>
      <c r="L26" s="93">
        <f>'Data Sheet'!K59/'Data Sheet'!K$61</f>
        <v>1.8535704432014848E-2</v>
      </c>
    </row>
    <row r="27" spans="2:12" ht="15" customHeight="1" x14ac:dyDescent="0.3">
      <c r="B27" s="83" t="s">
        <v>63</v>
      </c>
      <c r="C27" s="93">
        <f>'Data Sheet'!B60/'Data Sheet'!B$61</f>
        <v>0.55297338596714629</v>
      </c>
      <c r="D27" s="93">
        <f>'Data Sheet'!C60/'Data Sheet'!C$61</f>
        <v>0.5923748740342627</v>
      </c>
      <c r="E27" s="93">
        <f>'Data Sheet'!D60/'Data Sheet'!D$61</f>
        <v>0.57238713833270705</v>
      </c>
      <c r="F27" s="93">
        <f>'Data Sheet'!E60/'Data Sheet'!E$61</f>
        <v>0.59167369622388721</v>
      </c>
      <c r="G27" s="93">
        <f>'Data Sheet'!F60/'Data Sheet'!F$61</f>
        <v>0.30645912132673842</v>
      </c>
      <c r="H27" s="93">
        <f>'Data Sheet'!G60/'Data Sheet'!G$61</f>
        <v>0.28936544407568149</v>
      </c>
      <c r="I27" s="93">
        <f>'Data Sheet'!H60/'Data Sheet'!H$61</f>
        <v>0.29494916321140713</v>
      </c>
      <c r="J27" s="93">
        <f>'Data Sheet'!I60/'Data Sheet'!I$61</f>
        <v>0.32854285313865639</v>
      </c>
      <c r="K27" s="93">
        <f>'Data Sheet'!J60/'Data Sheet'!J$61</f>
        <v>0.36078033632595818</v>
      </c>
      <c r="L27" s="93">
        <f>'Data Sheet'!K60/'Data Sheet'!K$61</f>
        <v>0.37022498683187438</v>
      </c>
    </row>
    <row r="28" spans="2:12" ht="15" customHeight="1" x14ac:dyDescent="0.3">
      <c r="B28" s="85" t="s">
        <v>241</v>
      </c>
      <c r="C28" s="93">
        <f>'Data Sheet'!B61/'Data Sheet'!B$61</f>
        <v>1</v>
      </c>
      <c r="D28" s="93">
        <f>'Data Sheet'!C61/'Data Sheet'!C$61</f>
        <v>1</v>
      </c>
      <c r="E28" s="93">
        <f>'Data Sheet'!D61/'Data Sheet'!D$61</f>
        <v>1</v>
      </c>
      <c r="F28" s="93">
        <f>'Data Sheet'!E61/'Data Sheet'!E$61</f>
        <v>1</v>
      </c>
      <c r="G28" s="93">
        <f>'Data Sheet'!F61/'Data Sheet'!F$61</f>
        <v>1</v>
      </c>
      <c r="H28" s="93">
        <f>'Data Sheet'!G61/'Data Sheet'!G$61</f>
        <v>1</v>
      </c>
      <c r="I28" s="93">
        <f>'Data Sheet'!H61/'Data Sheet'!H$61</f>
        <v>1</v>
      </c>
      <c r="J28" s="93">
        <f>'Data Sheet'!I61/'Data Sheet'!I$61</f>
        <v>1</v>
      </c>
      <c r="K28" s="93">
        <f>'Data Sheet'!J61/'Data Sheet'!J$61</f>
        <v>1</v>
      </c>
      <c r="L28" s="93">
        <f>'Data Sheet'!K61/'Data Sheet'!K$61</f>
        <v>1</v>
      </c>
    </row>
    <row r="29" spans="2:12" x14ac:dyDescent="0.3">
      <c r="C29" s="80" t="s">
        <v>244</v>
      </c>
    </row>
    <row r="30" spans="2:12" ht="15.75" customHeight="1" x14ac:dyDescent="0.3">
      <c r="B30" s="357" t="s">
        <v>242</v>
      </c>
      <c r="C30" s="357"/>
      <c r="D30" s="357"/>
      <c r="E30" s="357"/>
      <c r="F30" s="357"/>
      <c r="G30" s="357"/>
      <c r="H30" s="357"/>
      <c r="I30" s="357"/>
      <c r="J30" s="357"/>
      <c r="K30" s="357"/>
      <c r="L30" s="357"/>
    </row>
    <row r="31" spans="2:12" ht="18" customHeight="1" x14ac:dyDescent="0.3">
      <c r="B31" s="72" t="s">
        <v>212</v>
      </c>
      <c r="C31" s="73" t="s">
        <v>177</v>
      </c>
      <c r="D31" s="73" t="s">
        <v>178</v>
      </c>
      <c r="E31" s="73" t="s">
        <v>179</v>
      </c>
      <c r="F31" s="73" t="s">
        <v>180</v>
      </c>
      <c r="G31" s="73" t="s">
        <v>181</v>
      </c>
      <c r="H31" s="73" t="s">
        <v>182</v>
      </c>
      <c r="I31" s="73" t="s">
        <v>183</v>
      </c>
      <c r="J31" s="73" t="s">
        <v>184</v>
      </c>
      <c r="K31" s="73" t="s">
        <v>185</v>
      </c>
      <c r="L31" s="73" t="s">
        <v>186</v>
      </c>
    </row>
    <row r="32" spans="2:12" ht="15" customHeight="1" x14ac:dyDescent="0.3">
      <c r="B32" s="83" t="s">
        <v>27</v>
      </c>
      <c r="C32" s="93">
        <f>'Data Sheet'!B62/'Data Sheet'!B$66</f>
        <v>0.2813574430154081</v>
      </c>
      <c r="D32" s="93">
        <f>'Data Sheet'!C62/'Data Sheet'!C$66</f>
        <v>0.25349904825887359</v>
      </c>
      <c r="E32" s="93">
        <f>'Data Sheet'!D62/'Data Sheet'!D$66</f>
        <v>0.25310000536797467</v>
      </c>
      <c r="F32" s="93">
        <f>'Data Sheet'!E62/'Data Sheet'!E$66</f>
        <v>0.27187019302337123</v>
      </c>
      <c r="G32" s="93">
        <f>'Data Sheet'!F62/'Data Sheet'!F$66</f>
        <v>0.74837067209775965</v>
      </c>
      <c r="H32" s="93">
        <f>'Data Sheet'!G62/'Data Sheet'!G$66</f>
        <v>0.73005134314810083</v>
      </c>
      <c r="I32" s="93">
        <f>'Data Sheet'!H62/'Data Sheet'!H$66</f>
        <v>0.720856083309386</v>
      </c>
      <c r="J32" s="93">
        <f>'Data Sheet'!I62/'Data Sheet'!I$66</f>
        <v>0.68473289250723035</v>
      </c>
      <c r="K32" s="93">
        <f>'Data Sheet'!J62/'Data Sheet'!J$66</f>
        <v>0.68035260383406582</v>
      </c>
      <c r="L32" s="93">
        <f>'Data Sheet'!K62/'Data Sheet'!K$66</f>
        <v>0.72020868343826028</v>
      </c>
    </row>
    <row r="33" spans="2:12" ht="15" customHeight="1" x14ac:dyDescent="0.3">
      <c r="B33" s="83" t="s">
        <v>243</v>
      </c>
      <c r="C33" s="93">
        <f>'Data Sheet'!B63/'Data Sheet'!B$66</f>
        <v>1.458041512797657E-2</v>
      </c>
      <c r="D33" s="93">
        <f>'Data Sheet'!C63/'Data Sheet'!C$66</f>
        <v>2.5808979957451572E-2</v>
      </c>
      <c r="E33" s="93">
        <f>'Data Sheet'!D63/'Data Sheet'!D$66</f>
        <v>2.1793977132427936E-2</v>
      </c>
      <c r="F33" s="93">
        <f>'Data Sheet'!E63/'Data Sheet'!E$66</f>
        <v>2.9623381134322432E-2</v>
      </c>
      <c r="G33" s="93">
        <f>'Data Sheet'!F63/'Data Sheet'!F$66</f>
        <v>1.0837940064009311E-2</v>
      </c>
      <c r="H33" s="93">
        <f>'Data Sheet'!G63/'Data Sheet'!G$66</f>
        <v>1.8622528579128019E-2</v>
      </c>
      <c r="I33" s="93">
        <f>'Data Sheet'!H63/'Data Sheet'!H$66</f>
        <v>1.5490510009989463E-2</v>
      </c>
      <c r="J33" s="93">
        <f>'Data Sheet'!I63/'Data Sheet'!I$66</f>
        <v>1.305915478602097E-2</v>
      </c>
      <c r="K33" s="93">
        <f>'Data Sheet'!J63/'Data Sheet'!J$66</f>
        <v>1.263413595782778E-2</v>
      </c>
      <c r="L33" s="93">
        <f>'Data Sheet'!K63/'Data Sheet'!K$66</f>
        <v>1.1036143369535227E-2</v>
      </c>
    </row>
    <row r="34" spans="2:12" ht="15" customHeight="1" x14ac:dyDescent="0.3">
      <c r="B34" s="83" t="s">
        <v>29</v>
      </c>
      <c r="C34" s="93">
        <f>'Data Sheet'!B64/'Data Sheet'!B$66</f>
        <v>0.24156373360499173</v>
      </c>
      <c r="D34" s="93">
        <f>'Data Sheet'!C64/'Data Sheet'!C$66</f>
        <v>0.16084425036390101</v>
      </c>
      <c r="E34" s="93">
        <f>'Data Sheet'!D64/'Data Sheet'!D$66</f>
        <v>0.14579419185141446</v>
      </c>
      <c r="F34" s="93">
        <f>'Data Sheet'!E64/'Data Sheet'!E$66</f>
        <v>6.2273606907160224E-2</v>
      </c>
      <c r="G34" s="93">
        <f>'Data Sheet'!F64/'Data Sheet'!F$66</f>
        <v>3.9409368635437883E-2</v>
      </c>
      <c r="H34" s="93">
        <f>'Data Sheet'!G64/'Data Sheet'!G$66</f>
        <v>4.9939012282642609E-2</v>
      </c>
      <c r="I34" s="93">
        <f>'Data Sheet'!H64/'Data Sheet'!H$66</f>
        <v>3.9437853223312398E-2</v>
      </c>
      <c r="J34" s="93">
        <f>'Data Sheet'!I64/'Data Sheet'!I$66</f>
        <v>5.8925454522289748E-2</v>
      </c>
      <c r="K34" s="93">
        <f>'Data Sheet'!J64/'Data Sheet'!J$66</f>
        <v>4.7706697719845238E-2</v>
      </c>
      <c r="L34" s="93">
        <f>'Data Sheet'!K64/'Data Sheet'!K$66</f>
        <v>5.4666532895231885E-2</v>
      </c>
    </row>
    <row r="35" spans="2:12" ht="15" customHeight="1" x14ac:dyDescent="0.3">
      <c r="B35" s="83" t="s">
        <v>64</v>
      </c>
      <c r="C35" s="93">
        <f>'Data Sheet'!B65/'Data Sheet'!B$66</f>
        <v>0.46249840825162358</v>
      </c>
      <c r="D35" s="93">
        <f>'Data Sheet'!C65/'Data Sheet'!C$66</f>
        <v>0.55984772141977379</v>
      </c>
      <c r="E35" s="93">
        <f>'Data Sheet'!D65/'Data Sheet'!D$66</f>
        <v>0.57931182564818295</v>
      </c>
      <c r="F35" s="93">
        <f>'Data Sheet'!E65/'Data Sheet'!E$66</f>
        <v>0.63623281893514616</v>
      </c>
      <c r="G35" s="93">
        <f>'Data Sheet'!F65/'Data Sheet'!F$66</f>
        <v>0.20138201920279314</v>
      </c>
      <c r="H35" s="93">
        <f>'Data Sheet'!G65/'Data Sheet'!G$66</f>
        <v>0.20138711599012851</v>
      </c>
      <c r="I35" s="93">
        <f>'Data Sheet'!H65/'Data Sheet'!H$66</f>
        <v>0.22421555345731214</v>
      </c>
      <c r="J35" s="93">
        <f>'Data Sheet'!I65/'Data Sheet'!I$66</f>
        <v>0.24328249818445896</v>
      </c>
      <c r="K35" s="93">
        <f>'Data Sheet'!J65/'Data Sheet'!J$66</f>
        <v>0.25930656248826117</v>
      </c>
      <c r="L35" s="93">
        <f>'Data Sheet'!K65/'Data Sheet'!K$66</f>
        <v>0.21408864029697258</v>
      </c>
    </row>
    <row r="36" spans="2:12" ht="15" customHeight="1" x14ac:dyDescent="0.3">
      <c r="B36" s="85" t="s">
        <v>216</v>
      </c>
      <c r="C36" s="93">
        <v>1</v>
      </c>
      <c r="D36" s="93">
        <v>1</v>
      </c>
      <c r="E36" s="93">
        <v>1</v>
      </c>
      <c r="F36" s="93">
        <v>1</v>
      </c>
      <c r="G36" s="93">
        <v>1</v>
      </c>
      <c r="H36" s="93">
        <v>1</v>
      </c>
      <c r="I36" s="93">
        <v>1</v>
      </c>
      <c r="J36" s="93">
        <v>1</v>
      </c>
      <c r="K36" s="93">
        <v>1</v>
      </c>
      <c r="L36" s="93">
        <v>1</v>
      </c>
    </row>
  </sheetData>
  <mergeCells count="4">
    <mergeCell ref="B2:L2"/>
    <mergeCell ref="B21:L21"/>
    <mergeCell ref="B22:L22"/>
    <mergeCell ref="B30:L3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D73FD-F25D-40FA-960E-5AC77399B563}">
  <sheetPr>
    <tabColor rgb="FF1B2A63"/>
  </sheetPr>
  <dimension ref="B2:L64"/>
  <sheetViews>
    <sheetView showGridLines="0" topLeftCell="B38" workbookViewId="0">
      <selection activeCell="C43" sqref="C43"/>
    </sheetView>
  </sheetViews>
  <sheetFormatPr defaultRowHeight="14.4" x14ac:dyDescent="0.3"/>
  <cols>
    <col min="1" max="1" width="3.33203125" customWidth="1"/>
    <col min="2" max="2" width="25" customWidth="1"/>
    <col min="3" max="3" width="12" customWidth="1"/>
    <col min="4" max="11" width="11.44140625" bestFit="1" customWidth="1"/>
    <col min="12" max="12" width="10.109375" customWidth="1"/>
  </cols>
  <sheetData>
    <row r="2" spans="2:12" ht="18.75" customHeight="1" x14ac:dyDescent="0.3">
      <c r="B2" s="359" t="s">
        <v>245</v>
      </c>
      <c r="C2" s="359"/>
      <c r="D2" s="359"/>
      <c r="E2" s="359"/>
      <c r="F2" s="359"/>
      <c r="G2" s="359"/>
      <c r="H2" s="359"/>
      <c r="I2" s="359"/>
      <c r="J2" s="359"/>
      <c r="K2" s="359"/>
      <c r="L2" s="359"/>
    </row>
    <row r="3" spans="2:12" ht="15.75" customHeight="1" x14ac:dyDescent="0.3">
      <c r="B3" s="360" t="s">
        <v>246</v>
      </c>
      <c r="C3" s="360"/>
      <c r="D3" s="360"/>
      <c r="E3" s="360"/>
      <c r="F3" s="360"/>
      <c r="G3" s="360"/>
      <c r="H3" s="360"/>
      <c r="I3" s="360"/>
      <c r="J3" s="360"/>
      <c r="K3" s="360"/>
      <c r="L3" s="360"/>
    </row>
    <row r="4" spans="2:12" ht="18" customHeight="1" x14ac:dyDescent="0.3">
      <c r="B4" s="86" t="s">
        <v>212</v>
      </c>
      <c r="C4" s="87" t="s">
        <v>248</v>
      </c>
      <c r="D4" s="87" t="s">
        <v>249</v>
      </c>
      <c r="E4" s="87" t="s">
        <v>250</v>
      </c>
      <c r="F4" s="87" t="s">
        <v>251</v>
      </c>
      <c r="G4" s="87" t="s">
        <v>252</v>
      </c>
      <c r="H4" s="87" t="s">
        <v>253</v>
      </c>
      <c r="I4" s="87" t="s">
        <v>254</v>
      </c>
      <c r="J4" s="87" t="s">
        <v>255</v>
      </c>
      <c r="K4" s="87" t="s">
        <v>256</v>
      </c>
    </row>
    <row r="5" spans="2:12" s="2" customFormat="1" ht="15" customHeight="1" x14ac:dyDescent="0.3">
      <c r="B5" s="81" t="s">
        <v>6</v>
      </c>
      <c r="C5" s="95">
        <f>'Data Sheet'!C17-'Data Sheet'!B17</f>
        <v>2383</v>
      </c>
      <c r="D5" s="95">
        <f>'Data Sheet'!D17-'Data Sheet'!C17</f>
        <v>3765</v>
      </c>
      <c r="E5" s="95">
        <f>'Data Sheet'!E17-'Data Sheet'!D17</f>
        <v>473</v>
      </c>
      <c r="F5" s="95">
        <f>'Data Sheet'!F17-'Data Sheet'!E17</f>
        <v>7245</v>
      </c>
      <c r="G5" s="95">
        <f>'Data Sheet'!G17-'Data Sheet'!F17</f>
        <v>5418</v>
      </c>
      <c r="H5" s="95">
        <f>'Data Sheet'!H17-'Data Sheet'!G17</f>
        <v>8134</v>
      </c>
      <c r="I5" s="95">
        <f>'Data Sheet'!I17-'Data Sheet'!H17</f>
        <v>1316</v>
      </c>
      <c r="J5" s="95">
        <f>'Data Sheet'!J17-'Data Sheet'!I17</f>
        <v>-568</v>
      </c>
      <c r="K5" s="95">
        <f>'Data Sheet'!K17-'Data Sheet'!J17</f>
        <v>3140</v>
      </c>
    </row>
    <row r="6" spans="2:12" ht="15" customHeight="1" x14ac:dyDescent="0.3">
      <c r="B6" s="83" t="s">
        <v>71</v>
      </c>
      <c r="C6" s="96">
        <f>'Data Sheet'!C18-'Data Sheet'!B18</f>
        <v>627</v>
      </c>
      <c r="D6" s="96">
        <f>'Data Sheet'!D18-'Data Sheet'!C18</f>
        <v>1612</v>
      </c>
      <c r="E6" s="96">
        <f>'Data Sheet'!E18-'Data Sheet'!D18</f>
        <v>-148</v>
      </c>
      <c r="F6" s="96">
        <f>'Data Sheet'!F18-'Data Sheet'!E18</f>
        <v>4444</v>
      </c>
      <c r="G6" s="96">
        <f>'Data Sheet'!G18-'Data Sheet'!F18</f>
        <v>2730</v>
      </c>
      <c r="H6" s="96">
        <f>'Data Sheet'!H18-'Data Sheet'!G18</f>
        <v>5556</v>
      </c>
      <c r="I6" s="96">
        <f>'Data Sheet'!I18-'Data Sheet'!H18</f>
        <v>-1605</v>
      </c>
      <c r="J6" s="96">
        <f>'Data Sheet'!J18-'Data Sheet'!I18</f>
        <v>-220</v>
      </c>
      <c r="K6" s="96">
        <f>'Data Sheet'!K18-'Data Sheet'!J18</f>
        <v>2556</v>
      </c>
    </row>
    <row r="7" spans="2:12" ht="15" customHeight="1" x14ac:dyDescent="0.3">
      <c r="B7" s="83" t="s">
        <v>72</v>
      </c>
      <c r="C7" s="96">
        <f>'Data Sheet'!C19-'Data Sheet'!B19</f>
        <v>216</v>
      </c>
      <c r="D7" s="96">
        <f>'Data Sheet'!D19-'Data Sheet'!C19</f>
        <v>-84</v>
      </c>
      <c r="E7" s="96">
        <f>'Data Sheet'!E19-'Data Sheet'!D19</f>
        <v>120</v>
      </c>
      <c r="F7" s="96">
        <f>'Data Sheet'!F19-'Data Sheet'!E19</f>
        <v>297</v>
      </c>
      <c r="G7" s="96">
        <f>'Data Sheet'!G19-'Data Sheet'!F19</f>
        <v>-383</v>
      </c>
      <c r="H7" s="96">
        <f>'Data Sheet'!H19-'Data Sheet'!G19</f>
        <v>53</v>
      </c>
      <c r="I7" s="96">
        <f>'Data Sheet'!I19-'Data Sheet'!H19</f>
        <v>-64</v>
      </c>
      <c r="J7" s="96">
        <f>'Data Sheet'!J19-'Data Sheet'!I19</f>
        <v>114</v>
      </c>
      <c r="K7" s="96">
        <f>'Data Sheet'!K19-'Data Sheet'!J19</f>
        <v>304</v>
      </c>
    </row>
    <row r="8" spans="2:12" ht="15" customHeight="1" x14ac:dyDescent="0.3">
      <c r="B8" s="83" t="s">
        <v>73</v>
      </c>
      <c r="C8" s="96">
        <f>'Data Sheet'!C20-'Data Sheet'!B20</f>
        <v>0</v>
      </c>
      <c r="D8" s="96">
        <f>'Data Sheet'!D20-'Data Sheet'!C20</f>
        <v>13</v>
      </c>
      <c r="E8" s="96">
        <f>'Data Sheet'!E20-'Data Sheet'!D20</f>
        <v>-9</v>
      </c>
      <c r="F8" s="96">
        <f>'Data Sheet'!F20-'Data Sheet'!E20</f>
        <v>40</v>
      </c>
      <c r="G8" s="96">
        <f>'Data Sheet'!G20-'Data Sheet'!F20</f>
        <v>-21</v>
      </c>
      <c r="H8" s="96">
        <f>'Data Sheet'!H20-'Data Sheet'!G20</f>
        <v>66</v>
      </c>
      <c r="I8" s="96">
        <f>'Data Sheet'!I20-'Data Sheet'!H20</f>
        <v>62</v>
      </c>
      <c r="J8" s="96">
        <f>'Data Sheet'!J20-'Data Sheet'!I20</f>
        <v>-43</v>
      </c>
      <c r="K8" s="96">
        <f>'Data Sheet'!K20-'Data Sheet'!J20</f>
        <v>23</v>
      </c>
    </row>
    <row r="9" spans="2:12" ht="15" customHeight="1" x14ac:dyDescent="0.3">
      <c r="B9" s="83" t="s">
        <v>74</v>
      </c>
      <c r="C9" s="96">
        <f>'Data Sheet'!C21-'Data Sheet'!B21</f>
        <v>111</v>
      </c>
      <c r="D9" s="96">
        <f>'Data Sheet'!D21-'Data Sheet'!C21</f>
        <v>43</v>
      </c>
      <c r="E9" s="96">
        <f>'Data Sheet'!E21-'Data Sheet'!D21</f>
        <v>-135</v>
      </c>
      <c r="F9" s="96">
        <f>'Data Sheet'!F21-'Data Sheet'!E21</f>
        <v>-38</v>
      </c>
      <c r="G9" s="96">
        <f>'Data Sheet'!G21-'Data Sheet'!F21</f>
        <v>486</v>
      </c>
      <c r="H9" s="96">
        <f>'Data Sheet'!H21-'Data Sheet'!G21</f>
        <v>437</v>
      </c>
      <c r="I9" s="96">
        <f>'Data Sheet'!I21-'Data Sheet'!H21</f>
        <v>-406</v>
      </c>
      <c r="J9" s="96">
        <f>'Data Sheet'!J21-'Data Sheet'!I21</f>
        <v>302</v>
      </c>
      <c r="K9" s="96">
        <f>'Data Sheet'!K21-'Data Sheet'!J21</f>
        <v>-383</v>
      </c>
    </row>
    <row r="10" spans="2:12" ht="15" customHeight="1" x14ac:dyDescent="0.3">
      <c r="B10" s="83" t="s">
        <v>75</v>
      </c>
      <c r="C10" s="96">
        <f>'Data Sheet'!C22-'Data Sheet'!B22</f>
        <v>117</v>
      </c>
      <c r="D10" s="96">
        <f>'Data Sheet'!D22-'Data Sheet'!C22</f>
        <v>15</v>
      </c>
      <c r="E10" s="96">
        <f>'Data Sheet'!E22-'Data Sheet'!D22</f>
        <v>-55</v>
      </c>
      <c r="F10" s="96">
        <f>'Data Sheet'!F22-'Data Sheet'!E22</f>
        <v>538</v>
      </c>
      <c r="G10" s="96">
        <f>'Data Sheet'!G22-'Data Sheet'!F22</f>
        <v>187</v>
      </c>
      <c r="H10" s="96">
        <f>'Data Sheet'!H22-'Data Sheet'!G22</f>
        <v>309</v>
      </c>
      <c r="I10" s="96">
        <f>'Data Sheet'!I22-'Data Sheet'!H22</f>
        <v>155</v>
      </c>
      <c r="J10" s="96">
        <f>'Data Sheet'!J22-'Data Sheet'!I22</f>
        <v>-57</v>
      </c>
      <c r="K10" s="96">
        <f>'Data Sheet'!K22-'Data Sheet'!J22</f>
        <v>223</v>
      </c>
    </row>
    <row r="11" spans="2:12" ht="15" customHeight="1" x14ac:dyDescent="0.3">
      <c r="B11" s="83" t="s">
        <v>76</v>
      </c>
      <c r="C11" s="96">
        <f>'Data Sheet'!C23-'Data Sheet'!B23</f>
        <v>563</v>
      </c>
      <c r="D11" s="96">
        <f>'Data Sheet'!D23-'Data Sheet'!C23</f>
        <v>544</v>
      </c>
      <c r="E11" s="96">
        <f>'Data Sheet'!E23-'Data Sheet'!D23</f>
        <v>-176</v>
      </c>
      <c r="F11" s="96">
        <f>'Data Sheet'!F23-'Data Sheet'!E23</f>
        <v>286</v>
      </c>
      <c r="G11" s="96">
        <f>'Data Sheet'!G23-'Data Sheet'!F23</f>
        <v>258</v>
      </c>
      <c r="H11" s="96">
        <f>'Data Sheet'!H23-'Data Sheet'!G23</f>
        <v>621</v>
      </c>
      <c r="I11" s="96">
        <f>'Data Sheet'!I23-'Data Sheet'!H23</f>
        <v>1995</v>
      </c>
      <c r="J11" s="96">
        <f>'Data Sheet'!J23-'Data Sheet'!I23</f>
        <v>-635</v>
      </c>
      <c r="K11" s="96">
        <f>'Data Sheet'!K23-'Data Sheet'!J23</f>
        <v>599</v>
      </c>
    </row>
    <row r="12" spans="2:12" ht="15" customHeight="1" x14ac:dyDescent="0.3">
      <c r="B12" s="83" t="s">
        <v>77</v>
      </c>
      <c r="C12" s="96">
        <f>'Data Sheet'!C24-'Data Sheet'!B24</f>
        <v>10</v>
      </c>
      <c r="D12" s="96">
        <f>'Data Sheet'!D24-'Data Sheet'!C24</f>
        <v>73</v>
      </c>
      <c r="E12" s="96">
        <f>'Data Sheet'!E24-'Data Sheet'!D24</f>
        <v>135</v>
      </c>
      <c r="F12" s="96">
        <f>'Data Sheet'!F24-'Data Sheet'!E24</f>
        <v>507</v>
      </c>
      <c r="G12" s="96">
        <f>'Data Sheet'!G24-'Data Sheet'!F24</f>
        <v>164</v>
      </c>
      <c r="H12" s="96">
        <f>'Data Sheet'!H24-'Data Sheet'!G24</f>
        <v>-92</v>
      </c>
      <c r="I12" s="96">
        <f>'Data Sheet'!I24-'Data Sheet'!H24</f>
        <v>539</v>
      </c>
      <c r="J12" s="96">
        <f>'Data Sheet'!J24-'Data Sheet'!I24</f>
        <v>160</v>
      </c>
      <c r="K12" s="96">
        <f>'Data Sheet'!K24-'Data Sheet'!J24</f>
        <v>85</v>
      </c>
    </row>
    <row r="13" spans="2:12" ht="15" customHeight="1" x14ac:dyDescent="0.3">
      <c r="B13" s="83" t="s">
        <v>9</v>
      </c>
      <c r="C13" s="96">
        <f>'Data Sheet'!C25-'Data Sheet'!B25</f>
        <v>-253</v>
      </c>
      <c r="D13" s="96">
        <f>'Data Sheet'!D25-'Data Sheet'!C25</f>
        <v>-31</v>
      </c>
      <c r="E13" s="96">
        <f>'Data Sheet'!E25-'Data Sheet'!D25</f>
        <v>102</v>
      </c>
      <c r="F13" s="96">
        <f>'Data Sheet'!F25-'Data Sheet'!E25</f>
        <v>-254</v>
      </c>
      <c r="G13" s="96">
        <f>'Data Sheet'!G25-'Data Sheet'!F25</f>
        <v>49</v>
      </c>
      <c r="H13" s="96">
        <f>'Data Sheet'!H25-'Data Sheet'!G25</f>
        <v>229</v>
      </c>
      <c r="I13" s="96">
        <f>'Data Sheet'!I25-'Data Sheet'!H25</f>
        <v>369</v>
      </c>
      <c r="J13" s="96">
        <f>'Data Sheet'!J25-'Data Sheet'!I25</f>
        <v>538</v>
      </c>
      <c r="K13" s="96">
        <f>'Data Sheet'!K25-'Data Sheet'!J25</f>
        <v>3568</v>
      </c>
    </row>
    <row r="14" spans="2:12" ht="15" customHeight="1" x14ac:dyDescent="0.3">
      <c r="B14" s="83" t="s">
        <v>10</v>
      </c>
      <c r="C14" s="96">
        <f>'Data Sheet'!C26-'Data Sheet'!B26</f>
        <v>88</v>
      </c>
      <c r="D14" s="96">
        <f>'Data Sheet'!D26-'Data Sheet'!C26</f>
        <v>45</v>
      </c>
      <c r="E14" s="96">
        <f>'Data Sheet'!E26-'Data Sheet'!D26</f>
        <v>437</v>
      </c>
      <c r="F14" s="96">
        <f>'Data Sheet'!F26-'Data Sheet'!E26</f>
        <v>72</v>
      </c>
      <c r="G14" s="96">
        <f>'Data Sheet'!G26-'Data Sheet'!F26</f>
        <v>17</v>
      </c>
      <c r="H14" s="96">
        <f>'Data Sheet'!H26-'Data Sheet'!G26</f>
        <v>46</v>
      </c>
      <c r="I14" s="96">
        <f>'Data Sheet'!I26-'Data Sheet'!H26</f>
        <v>79</v>
      </c>
      <c r="J14" s="96">
        <f>'Data Sheet'!J26-'Data Sheet'!I26</f>
        <v>37</v>
      </c>
      <c r="K14" s="96">
        <f>'Data Sheet'!K26-'Data Sheet'!J26</f>
        <v>80</v>
      </c>
    </row>
    <row r="15" spans="2:12" ht="15" customHeight="1" x14ac:dyDescent="0.3">
      <c r="B15" s="83" t="s">
        <v>11</v>
      </c>
      <c r="C15" s="96">
        <f>'Data Sheet'!C27-'Data Sheet'!B27</f>
        <v>-9</v>
      </c>
      <c r="D15" s="96">
        <f>'Data Sheet'!D27-'Data Sheet'!C27</f>
        <v>7</v>
      </c>
      <c r="E15" s="96">
        <f>'Data Sheet'!E27-'Data Sheet'!D27</f>
        <v>85</v>
      </c>
      <c r="F15" s="96">
        <f>'Data Sheet'!F27-'Data Sheet'!E27</f>
        <v>-1</v>
      </c>
      <c r="G15" s="96">
        <f>'Data Sheet'!G27-'Data Sheet'!F27</f>
        <v>-11</v>
      </c>
      <c r="H15" s="96">
        <f>'Data Sheet'!H27-'Data Sheet'!G27</f>
        <v>8</v>
      </c>
      <c r="I15" s="96">
        <f>'Data Sheet'!I27-'Data Sheet'!H27</f>
        <v>220</v>
      </c>
      <c r="J15" s="96">
        <f>'Data Sheet'!J27-'Data Sheet'!I27</f>
        <v>47</v>
      </c>
      <c r="K15" s="96">
        <f>'Data Sheet'!K27-'Data Sheet'!J27</f>
        <v>29</v>
      </c>
    </row>
    <row r="16" spans="2:12" ht="15" customHeight="1" x14ac:dyDescent="0.3">
      <c r="B16" s="83" t="s">
        <v>12</v>
      </c>
      <c r="C16" s="96">
        <f>'Data Sheet'!C28-'Data Sheet'!B28</f>
        <v>839</v>
      </c>
      <c r="D16" s="96">
        <f>'Data Sheet'!D28-'Data Sheet'!C28</f>
        <v>1298</v>
      </c>
      <c r="E16" s="96">
        <f>'Data Sheet'!E28-'Data Sheet'!D28</f>
        <v>561</v>
      </c>
      <c r="F16" s="96">
        <f>'Data Sheet'!F28-'Data Sheet'!E28</f>
        <v>1440</v>
      </c>
      <c r="G16" s="96">
        <f>'Data Sheet'!G28-'Data Sheet'!F28</f>
        <v>1274</v>
      </c>
      <c r="H16" s="96">
        <f>'Data Sheet'!H28-'Data Sheet'!G28</f>
        <v>1465</v>
      </c>
      <c r="I16" s="96">
        <f>'Data Sheet'!I28-'Data Sheet'!H28</f>
        <v>582</v>
      </c>
      <c r="J16" s="96">
        <f>'Data Sheet'!J28-'Data Sheet'!I28</f>
        <v>493</v>
      </c>
      <c r="K16" s="96">
        <f>'Data Sheet'!K28-'Data Sheet'!J28</f>
        <v>3800</v>
      </c>
    </row>
    <row r="17" spans="2:12" ht="15" customHeight="1" x14ac:dyDescent="0.3">
      <c r="B17" s="83" t="s">
        <v>13</v>
      </c>
      <c r="C17" s="96">
        <f>'Data Sheet'!C29-'Data Sheet'!B29</f>
        <v>102</v>
      </c>
      <c r="D17" s="96">
        <f>'Data Sheet'!D29-'Data Sheet'!C29</f>
        <v>465</v>
      </c>
      <c r="E17" s="96">
        <f>'Data Sheet'!E29-'Data Sheet'!D29</f>
        <v>-135</v>
      </c>
      <c r="F17" s="96">
        <f>'Data Sheet'!F29-'Data Sheet'!E29</f>
        <v>197</v>
      </c>
      <c r="G17" s="96">
        <f>'Data Sheet'!G29-'Data Sheet'!F29</f>
        <v>381</v>
      </c>
      <c r="H17" s="96">
        <f>'Data Sheet'!H29-'Data Sheet'!G29</f>
        <v>214</v>
      </c>
      <c r="I17" s="96">
        <f>'Data Sheet'!I29-'Data Sheet'!H29</f>
        <v>443</v>
      </c>
      <c r="J17" s="96">
        <f>'Data Sheet'!J29-'Data Sheet'!I29</f>
        <v>104</v>
      </c>
      <c r="K17" s="96">
        <f>'Data Sheet'!K29-'Data Sheet'!J29</f>
        <v>-588</v>
      </c>
    </row>
    <row r="18" spans="2:12" s="2" customFormat="1" ht="15" customHeight="1" x14ac:dyDescent="0.3">
      <c r="B18" s="84" t="s">
        <v>14</v>
      </c>
      <c r="C18" s="95">
        <f>'Data Sheet'!C30-'Data Sheet'!B30</f>
        <v>738</v>
      </c>
      <c r="D18" s="95">
        <f>'Data Sheet'!D30-'Data Sheet'!C30</f>
        <v>840</v>
      </c>
      <c r="E18" s="95">
        <f>'Data Sheet'!E30-'Data Sheet'!D30</f>
        <v>694</v>
      </c>
      <c r="F18" s="95">
        <f>'Data Sheet'!F30-'Data Sheet'!E30</f>
        <v>1247</v>
      </c>
      <c r="G18" s="95">
        <f>'Data Sheet'!G30-'Data Sheet'!F30</f>
        <v>884</v>
      </c>
      <c r="H18" s="95">
        <f>'Data Sheet'!H30-'Data Sheet'!G30</f>
        <v>1241</v>
      </c>
      <c r="I18" s="95">
        <f>'Data Sheet'!I30-'Data Sheet'!H30</f>
        <v>157</v>
      </c>
      <c r="J18" s="95">
        <f>'Data Sheet'!J30-'Data Sheet'!I30</f>
        <v>372</v>
      </c>
      <c r="K18" s="95">
        <f>'Data Sheet'!K30-'Data Sheet'!J30</f>
        <v>4391</v>
      </c>
    </row>
    <row r="19" spans="2:12" ht="15" customHeight="1" x14ac:dyDescent="0.3">
      <c r="B19" s="83" t="s">
        <v>61</v>
      </c>
      <c r="C19" s="96">
        <f>'Data Sheet'!C31-'Data Sheet'!B31</f>
        <v>648</v>
      </c>
      <c r="D19" s="96">
        <f>'Data Sheet'!D31-'Data Sheet'!C31</f>
        <v>432</v>
      </c>
      <c r="E19" s="96">
        <f>'Data Sheet'!E31-'Data Sheet'!D31</f>
        <v>648</v>
      </c>
      <c r="F19" s="96">
        <f>'Data Sheet'!F31-'Data Sheet'!E31</f>
        <v>4117.5</v>
      </c>
      <c r="G19" s="96">
        <f>'Data Sheet'!G31-'Data Sheet'!F31</f>
        <v>-1527.5</v>
      </c>
      <c r="H19" s="96">
        <f>'Data Sheet'!H31-'Data Sheet'!G31</f>
        <v>1175</v>
      </c>
      <c r="I19" s="96">
        <f>'Data Sheet'!I31-'Data Sheet'!H31</f>
        <v>705</v>
      </c>
      <c r="J19" s="96">
        <f>'Data Sheet'!J31-'Data Sheet'!I31</f>
        <v>2585</v>
      </c>
      <c r="K19" s="96">
        <f>'Data Sheet'!K31-'Data Sheet'!J31</f>
        <v>-2820</v>
      </c>
    </row>
    <row r="20" spans="2:12" ht="15" customHeight="1" x14ac:dyDescent="0.3">
      <c r="B20" s="89"/>
      <c r="C20" s="90"/>
      <c r="D20" s="90"/>
      <c r="E20" s="90"/>
      <c r="F20" s="90"/>
      <c r="G20" s="90"/>
      <c r="H20" s="90"/>
      <c r="I20" s="90"/>
      <c r="J20" s="90"/>
      <c r="K20" s="90"/>
      <c r="L20" s="90"/>
    </row>
    <row r="21" spans="2:12" ht="15.75" customHeight="1" x14ac:dyDescent="0.3">
      <c r="B21" s="360" t="s">
        <v>257</v>
      </c>
      <c r="C21" s="360"/>
      <c r="D21" s="360"/>
      <c r="E21" s="360"/>
      <c r="F21" s="360"/>
      <c r="G21" s="360"/>
      <c r="H21" s="360"/>
      <c r="I21" s="360"/>
      <c r="J21" s="360"/>
      <c r="K21" s="360"/>
      <c r="L21" s="360"/>
    </row>
    <row r="22" spans="2:12" ht="18" customHeight="1" x14ac:dyDescent="0.3">
      <c r="B22" s="86" t="s">
        <v>212</v>
      </c>
      <c r="C22" s="92" t="s">
        <v>248</v>
      </c>
      <c r="D22" s="87" t="s">
        <v>249</v>
      </c>
      <c r="E22" s="87" t="s">
        <v>250</v>
      </c>
      <c r="F22" s="87" t="s">
        <v>251</v>
      </c>
      <c r="G22" s="87" t="s">
        <v>252</v>
      </c>
      <c r="H22" s="87" t="s">
        <v>253</v>
      </c>
      <c r="I22" s="87" t="s">
        <v>254</v>
      </c>
      <c r="J22" s="87" t="s">
        <v>255</v>
      </c>
      <c r="K22" s="87" t="s">
        <v>256</v>
      </c>
    </row>
    <row r="23" spans="2:12" s="2" customFormat="1" ht="15" customHeight="1" x14ac:dyDescent="0.3">
      <c r="B23" s="81" t="s">
        <v>6</v>
      </c>
      <c r="C23" s="93">
        <f>'Data Sheet'!C17/'Data Sheet'!B17-1</f>
        <v>7.1859357095470644E-2</v>
      </c>
      <c r="D23" s="93">
        <f>'Data Sheet'!D17/'Data Sheet'!C17-1</f>
        <v>0.1059220706147137</v>
      </c>
      <c r="E23" s="93">
        <f>'Data Sheet'!E17/'Data Sheet'!D17-1</f>
        <v>1.2032561689137689E-2</v>
      </c>
      <c r="F23" s="93">
        <f>'Data Sheet'!F17/'Data Sheet'!E17-1</f>
        <v>0.18211296282331646</v>
      </c>
      <c r="G23" s="93">
        <f>'Data Sheet'!G17/'Data Sheet'!F17-1</f>
        <v>0.11520796121459553</v>
      </c>
      <c r="H23" s="93">
        <f>'Data Sheet'!H17/'Data Sheet'!G17-1</f>
        <v>0.15509285741524614</v>
      </c>
      <c r="I23" s="93">
        <f>'Data Sheet'!I17/'Data Sheet'!H17-1</f>
        <v>2.1723341036645749E-2</v>
      </c>
      <c r="J23" s="93">
        <f>'Data Sheet'!J17/'Data Sheet'!I17-1</f>
        <v>-9.1766834690448773E-3</v>
      </c>
      <c r="K23" s="93">
        <f>'Data Sheet'!K17/'Data Sheet'!J17-1</f>
        <v>5.1200104356900589E-2</v>
      </c>
    </row>
    <row r="24" spans="2:12" ht="15" customHeight="1" x14ac:dyDescent="0.3">
      <c r="B24" s="83" t="s">
        <v>71</v>
      </c>
      <c r="C24" s="93">
        <f>'Data Sheet'!C18/'Data Sheet'!B18-1</f>
        <v>4.6082610612964814E-2</v>
      </c>
      <c r="D24" s="93">
        <f>'Data Sheet'!D18/'Data Sheet'!C18-1</f>
        <v>0.11325792173118798</v>
      </c>
      <c r="E24" s="93">
        <f>'Data Sheet'!E18/'Data Sheet'!D18-1</f>
        <v>-9.3404859577154165E-3</v>
      </c>
      <c r="F24" s="93">
        <f>'Data Sheet'!F18/'Data Sheet'!E18-1</f>
        <v>0.28311142256482125</v>
      </c>
      <c r="G24" s="93">
        <f>'Data Sheet'!G18/'Data Sheet'!F18-1</f>
        <v>0.1355444118961322</v>
      </c>
      <c r="H24" s="93">
        <f>'Data Sheet'!H18/'Data Sheet'!G18-1</f>
        <v>0.24292772506667837</v>
      </c>
      <c r="I24" s="93">
        <f>'Data Sheet'!I18/'Data Sheet'!H18-1</f>
        <v>-5.646040735920077E-2</v>
      </c>
      <c r="J24" s="93">
        <f>'Data Sheet'!J18/'Data Sheet'!I18-1</f>
        <v>-8.2022220565207693E-3</v>
      </c>
      <c r="K24" s="93">
        <f>'Data Sheet'!K18/'Data Sheet'!J18-1</f>
        <v>9.6083001278099323E-2</v>
      </c>
    </row>
    <row r="25" spans="2:12" ht="15" customHeight="1" x14ac:dyDescent="0.3">
      <c r="B25" s="83" t="s">
        <v>72</v>
      </c>
      <c r="C25" s="93">
        <f>'Data Sheet'!C19/'Data Sheet'!B19-1</f>
        <v>-1.5</v>
      </c>
      <c r="D25" s="93">
        <f>'Data Sheet'!D19/'Data Sheet'!C19-1</f>
        <v>-1.1666666666666667</v>
      </c>
      <c r="E25" s="93">
        <f>'Data Sheet'!E19/'Data Sheet'!D19-1</f>
        <v>-10</v>
      </c>
      <c r="F25" s="93">
        <f>'Data Sheet'!F19/'Data Sheet'!E19-1</f>
        <v>2.75</v>
      </c>
      <c r="G25" s="93">
        <f>'Data Sheet'!G19/'Data Sheet'!F19-1</f>
        <v>-0.94567901234567897</v>
      </c>
      <c r="H25" s="93">
        <f>'Data Sheet'!H19/'Data Sheet'!G19-1</f>
        <v>2.4090909090909092</v>
      </c>
      <c r="I25" s="93">
        <f>'Data Sheet'!I19/'Data Sheet'!H19-1</f>
        <v>-0.85333333333333328</v>
      </c>
      <c r="J25" s="93">
        <f>'Data Sheet'!J19/'Data Sheet'!I19-1</f>
        <v>10.363636363636363</v>
      </c>
      <c r="K25" s="93">
        <f>'Data Sheet'!K19/'Data Sheet'!J19-1</f>
        <v>2.4319999999999999</v>
      </c>
    </row>
    <row r="26" spans="2:12" ht="15" customHeight="1" x14ac:dyDescent="0.3">
      <c r="B26" s="83" t="s">
        <v>73</v>
      </c>
      <c r="C26" s="93">
        <f>'Data Sheet'!C20/'Data Sheet'!B20-1</f>
        <v>0</v>
      </c>
      <c r="D26" s="93">
        <f>'Data Sheet'!D20/'Data Sheet'!C20-1</f>
        <v>4.4067796610169463E-2</v>
      </c>
      <c r="E26" s="93">
        <f>'Data Sheet'!E20/'Data Sheet'!D20-1</f>
        <v>-2.9220779220779258E-2</v>
      </c>
      <c r="F26" s="93">
        <f>'Data Sheet'!F20/'Data Sheet'!E20-1</f>
        <v>0.13377926421404673</v>
      </c>
      <c r="G26" s="93">
        <f>'Data Sheet'!G20/'Data Sheet'!F20-1</f>
        <v>-6.1946902654867242E-2</v>
      </c>
      <c r="H26" s="93">
        <f>'Data Sheet'!H20/'Data Sheet'!G20-1</f>
        <v>0.20754716981132071</v>
      </c>
      <c r="I26" s="93">
        <f>'Data Sheet'!I20/'Data Sheet'!H20-1</f>
        <v>0.16145833333333326</v>
      </c>
      <c r="J26" s="93">
        <f>'Data Sheet'!J20/'Data Sheet'!I20-1</f>
        <v>-9.6412556053811604E-2</v>
      </c>
      <c r="K26" s="93">
        <f>'Data Sheet'!K20/'Data Sheet'!J20-1</f>
        <v>5.7071960297766733E-2</v>
      </c>
    </row>
    <row r="27" spans="2:12" ht="15" customHeight="1" x14ac:dyDescent="0.3">
      <c r="B27" s="83" t="s">
        <v>74</v>
      </c>
      <c r="C27" s="93">
        <f>'Data Sheet'!C21/'Data Sheet'!B21-1</f>
        <v>3.8448216141323099E-2</v>
      </c>
      <c r="D27" s="93">
        <f>'Data Sheet'!D21/'Data Sheet'!C21-1</f>
        <v>1.4342895263508959E-2</v>
      </c>
      <c r="E27" s="93">
        <f>'Data Sheet'!E21/'Data Sheet'!D21-1</f>
        <v>-4.4393291680368319E-2</v>
      </c>
      <c r="F27" s="93">
        <f>'Data Sheet'!F21/'Data Sheet'!E21-1</f>
        <v>-1.3076393668272512E-2</v>
      </c>
      <c r="G27" s="93">
        <f>'Data Sheet'!G21/'Data Sheet'!F21-1</f>
        <v>0.16945606694560666</v>
      </c>
      <c r="H27" s="93">
        <f>'Data Sheet'!H21/'Data Sheet'!G21-1</f>
        <v>0.13029218843172341</v>
      </c>
      <c r="I27" s="93">
        <f>'Data Sheet'!I21/'Data Sheet'!H21-1</f>
        <v>-0.10709575309944608</v>
      </c>
      <c r="J27" s="93">
        <f>'Data Sheet'!J21/'Data Sheet'!I21-1</f>
        <v>8.9217134416543553E-2</v>
      </c>
      <c r="K27" s="93">
        <f>'Data Sheet'!K21/'Data Sheet'!J21-1</f>
        <v>-0.10387849199891508</v>
      </c>
    </row>
    <row r="28" spans="2:12" ht="15" customHeight="1" x14ac:dyDescent="0.3">
      <c r="B28" s="83" t="s">
        <v>75</v>
      </c>
      <c r="C28" s="93">
        <f>'Data Sheet'!C22/'Data Sheet'!B22-1</f>
        <v>6.7125645438898429E-2</v>
      </c>
      <c r="D28" s="93">
        <f>'Data Sheet'!D22/'Data Sheet'!C22-1</f>
        <v>8.0645161290322509E-3</v>
      </c>
      <c r="E28" s="93">
        <f>'Data Sheet'!E22/'Data Sheet'!D22-1</f>
        <v>-2.9333333333333322E-2</v>
      </c>
      <c r="F28" s="93">
        <f>'Data Sheet'!F22/'Data Sheet'!E22-1</f>
        <v>0.29560439560439566</v>
      </c>
      <c r="G28" s="93">
        <f>'Data Sheet'!G22/'Data Sheet'!F22-1</f>
        <v>7.9304495335029701E-2</v>
      </c>
      <c r="H28" s="93">
        <f>'Data Sheet'!H22/'Data Sheet'!G22-1</f>
        <v>0.1214145383104126</v>
      </c>
      <c r="I28" s="93">
        <f>'Data Sheet'!I22/'Data Sheet'!H22-1</f>
        <v>5.4309740714786336E-2</v>
      </c>
      <c r="J28" s="93">
        <f>'Data Sheet'!J22/'Data Sheet'!I22-1</f>
        <v>-1.8943170488534444E-2</v>
      </c>
      <c r="K28" s="93">
        <f>'Data Sheet'!K22/'Data Sheet'!J22-1</f>
        <v>7.5542005420054181E-2</v>
      </c>
    </row>
    <row r="29" spans="2:12" ht="15" customHeight="1" x14ac:dyDescent="0.3">
      <c r="B29" s="83" t="s">
        <v>76</v>
      </c>
      <c r="C29" s="93">
        <f>'Data Sheet'!C23/'Data Sheet'!B23-1</f>
        <v>8.4168037075796009E-2</v>
      </c>
      <c r="D29" s="93">
        <f>'Data Sheet'!D23/'Data Sheet'!C23-1</f>
        <v>7.501378929950353E-2</v>
      </c>
      <c r="E29" s="93">
        <f>'Data Sheet'!E23/'Data Sheet'!D23-1</f>
        <v>-2.2575679835813212E-2</v>
      </c>
      <c r="F29" s="93">
        <f>'Data Sheet'!F23/'Data Sheet'!E23-1</f>
        <v>3.7532808398950124E-2</v>
      </c>
      <c r="G29" s="93">
        <f>'Data Sheet'!G23/'Data Sheet'!F23-1</f>
        <v>3.2633442954717928E-2</v>
      </c>
      <c r="H29" s="93">
        <f>'Data Sheet'!H23/'Data Sheet'!G23-1</f>
        <v>7.6065654091131751E-2</v>
      </c>
      <c r="I29" s="93">
        <f>'Data Sheet'!I23/'Data Sheet'!H23-1</f>
        <v>0.22709163346613548</v>
      </c>
      <c r="J29" s="93">
        <f>'Data Sheet'!J23/'Data Sheet'!I23-1</f>
        <v>-5.8905380333951762E-2</v>
      </c>
      <c r="K29" s="93">
        <f>'Data Sheet'!K23/'Data Sheet'!J23-1</f>
        <v>5.9043863972400246E-2</v>
      </c>
    </row>
    <row r="30" spans="2:12" ht="15" customHeight="1" x14ac:dyDescent="0.3">
      <c r="B30" s="83" t="s">
        <v>77</v>
      </c>
      <c r="C30" s="93">
        <f>'Data Sheet'!C24/'Data Sheet'!B24-1</f>
        <v>6.8027210884353817E-3</v>
      </c>
      <c r="D30" s="93">
        <f>'Data Sheet'!D24/'Data Sheet'!C24-1</f>
        <v>4.9324324324324431E-2</v>
      </c>
      <c r="E30" s="93">
        <f>'Data Sheet'!E24/'Data Sheet'!D24-1</f>
        <v>8.6928525434642578E-2</v>
      </c>
      <c r="F30" s="93">
        <f>'Data Sheet'!F24/'Data Sheet'!E24-1</f>
        <v>0.30035545023696675</v>
      </c>
      <c r="G30" s="93">
        <f>'Data Sheet'!G24/'Data Sheet'!F24-1</f>
        <v>7.4715261958997692E-2</v>
      </c>
      <c r="H30" s="93">
        <f>'Data Sheet'!H24/'Data Sheet'!G24-1</f>
        <v>-3.8999576091564236E-2</v>
      </c>
      <c r="I30" s="93">
        <f>'Data Sheet'!I24/'Data Sheet'!H24-1</f>
        <v>0.2377591530657257</v>
      </c>
      <c r="J30" s="93">
        <f>'Data Sheet'!J24/'Data Sheet'!I24-1</f>
        <v>5.7020669992872364E-2</v>
      </c>
      <c r="K30" s="93">
        <f>'Data Sheet'!K24/'Data Sheet'!J24-1</f>
        <v>2.8658125421443081E-2</v>
      </c>
    </row>
    <row r="31" spans="2:12" ht="15" customHeight="1" x14ac:dyDescent="0.3">
      <c r="B31" s="83" t="s">
        <v>9</v>
      </c>
      <c r="C31" s="93">
        <f>'Data Sheet'!C25/'Data Sheet'!B25-1</f>
        <v>-0.41749174917491749</v>
      </c>
      <c r="D31" s="93">
        <f>'Data Sheet'!D25/'Data Sheet'!C25-1</f>
        <v>-8.7818696883852687E-2</v>
      </c>
      <c r="E31" s="93">
        <f>'Data Sheet'!E25/'Data Sheet'!D25-1</f>
        <v>0.31677018633540377</v>
      </c>
      <c r="F31" s="93">
        <f>'Data Sheet'!F25/'Data Sheet'!E25-1</f>
        <v>-0.59905660377358494</v>
      </c>
      <c r="G31" s="93">
        <f>'Data Sheet'!G25/'Data Sheet'!F25-1</f>
        <v>0.28823529411764715</v>
      </c>
      <c r="H31" s="93">
        <f>'Data Sheet'!H25/'Data Sheet'!G25-1</f>
        <v>1.0456621004566209</v>
      </c>
      <c r="I31" s="93">
        <f>'Data Sheet'!I25/'Data Sheet'!H25-1</f>
        <v>0.82366071428571419</v>
      </c>
      <c r="J31" s="93">
        <f>'Data Sheet'!J25/'Data Sheet'!I25-1</f>
        <v>0.6585067319461444</v>
      </c>
      <c r="K31" s="93">
        <f>'Data Sheet'!K25/'Data Sheet'!J25-1</f>
        <v>2.6332103321033209</v>
      </c>
    </row>
    <row r="32" spans="2:12" ht="15" customHeight="1" x14ac:dyDescent="0.3">
      <c r="B32" s="83" t="s">
        <v>10</v>
      </c>
      <c r="C32" s="93">
        <f>'Data Sheet'!C26/'Data Sheet'!B26-1</f>
        <v>0.20370370370370372</v>
      </c>
      <c r="D32" s="93">
        <f>'Data Sheet'!D26/'Data Sheet'!C26-1</f>
        <v>8.6538461538461453E-2</v>
      </c>
      <c r="E32" s="93">
        <f>'Data Sheet'!E26/'Data Sheet'!D26-1</f>
        <v>0.77345132743362832</v>
      </c>
      <c r="F32" s="93">
        <f>'Data Sheet'!F26/'Data Sheet'!E26-1</f>
        <v>7.1856287425149601E-2</v>
      </c>
      <c r="G32" s="93">
        <f>'Data Sheet'!G26/'Data Sheet'!F26-1</f>
        <v>1.5828677839851091E-2</v>
      </c>
      <c r="H32" s="93">
        <f>'Data Sheet'!H26/'Data Sheet'!G26-1</f>
        <v>4.2163153070577497E-2</v>
      </c>
      <c r="I32" s="93">
        <f>'Data Sheet'!I26/'Data Sheet'!H26-1</f>
        <v>6.9481090589269989E-2</v>
      </c>
      <c r="J32" s="93">
        <f>'Data Sheet'!J26/'Data Sheet'!I26-1</f>
        <v>3.0427631578947345E-2</v>
      </c>
      <c r="K32" s="93">
        <f>'Data Sheet'!K26/'Data Sheet'!J26-1</f>
        <v>6.3846767757382183E-2</v>
      </c>
    </row>
    <row r="33" spans="2:12" ht="15" customHeight="1" x14ac:dyDescent="0.3">
      <c r="B33" s="83" t="s">
        <v>11</v>
      </c>
      <c r="C33" s="93">
        <f>'Data Sheet'!C27/'Data Sheet'!B27-1</f>
        <v>-0.25714285714285712</v>
      </c>
      <c r="D33" s="93">
        <f>'Data Sheet'!D27/'Data Sheet'!C27-1</f>
        <v>0.26923076923076916</v>
      </c>
      <c r="E33" s="93">
        <f>'Data Sheet'!E27/'Data Sheet'!D27-1</f>
        <v>2.5757575757575757</v>
      </c>
      <c r="F33" s="93">
        <f>'Data Sheet'!F27/'Data Sheet'!E27-1</f>
        <v>-8.4745762711864181E-3</v>
      </c>
      <c r="G33" s="93">
        <f>'Data Sheet'!G27/'Data Sheet'!F27-1</f>
        <v>-9.4017094017094016E-2</v>
      </c>
      <c r="H33" s="93">
        <f>'Data Sheet'!H27/'Data Sheet'!G27-1</f>
        <v>7.547169811320753E-2</v>
      </c>
      <c r="I33" s="93">
        <f>'Data Sheet'!I27/'Data Sheet'!H27-1</f>
        <v>1.9298245614035086</v>
      </c>
      <c r="J33" s="93">
        <f>'Data Sheet'!J27/'Data Sheet'!I27-1</f>
        <v>0.14071856287425155</v>
      </c>
      <c r="K33" s="93">
        <f>'Data Sheet'!K27/'Data Sheet'!J27-1</f>
        <v>7.6115485564304475E-2</v>
      </c>
    </row>
    <row r="34" spans="2:12" ht="15" customHeight="1" x14ac:dyDescent="0.3">
      <c r="B34" s="83" t="s">
        <v>12</v>
      </c>
      <c r="C34" s="93">
        <f>'Data Sheet'!C28/'Data Sheet'!B28-1</f>
        <v>0.12973558064017321</v>
      </c>
      <c r="D34" s="93">
        <f>'Data Sheet'!D28/'Data Sheet'!C28-1</f>
        <v>0.17766219545578976</v>
      </c>
      <c r="E34" s="93">
        <f>'Data Sheet'!E28/'Data Sheet'!D28-1</f>
        <v>6.5202231520223197E-2</v>
      </c>
      <c r="F34" s="93">
        <f>'Data Sheet'!F28/'Data Sheet'!E28-1</f>
        <v>0.15711947626841249</v>
      </c>
      <c r="G34" s="93">
        <f>'Data Sheet'!G28/'Data Sheet'!F28-1</f>
        <v>0.12013201320132016</v>
      </c>
      <c r="H34" s="93">
        <f>'Data Sheet'!H28/'Data Sheet'!G28-1</f>
        <v>0.12332687936694997</v>
      </c>
      <c r="I34" s="93">
        <f>'Data Sheet'!I28/'Data Sheet'!H28-1</f>
        <v>4.3615107913669071E-2</v>
      </c>
      <c r="J34" s="93">
        <f>'Data Sheet'!J28/'Data Sheet'!I28-1</f>
        <v>3.5401407439322075E-2</v>
      </c>
      <c r="K34" s="93">
        <f>'Data Sheet'!K28/'Data Sheet'!J28-1</f>
        <v>0.26354116096816704</v>
      </c>
    </row>
    <row r="35" spans="2:12" ht="15" customHeight="1" x14ac:dyDescent="0.3">
      <c r="B35" s="83" t="s">
        <v>13</v>
      </c>
      <c r="C35" s="93">
        <f>'Data Sheet'!C29/'Data Sheet'!B29-1</f>
        <v>5.159332321699539E-2</v>
      </c>
      <c r="D35" s="93">
        <f>'Data Sheet'!D29/'Data Sheet'!C29-1</f>
        <v>0.22366522366522368</v>
      </c>
      <c r="E35" s="93">
        <f>'Data Sheet'!E29/'Data Sheet'!D29-1</f>
        <v>-5.3066037735849059E-2</v>
      </c>
      <c r="F35" s="93">
        <f>'Data Sheet'!F29/'Data Sheet'!E29-1</f>
        <v>8.1776670817766739E-2</v>
      </c>
      <c r="G35" s="93">
        <f>'Data Sheet'!G29/'Data Sheet'!F29-1</f>
        <v>0.14620107444359176</v>
      </c>
      <c r="H35" s="93">
        <f>'Data Sheet'!H29/'Data Sheet'!G29-1</f>
        <v>7.1643789755607701E-2</v>
      </c>
      <c r="I35" s="93">
        <f>'Data Sheet'!I29/'Data Sheet'!H29-1</f>
        <v>0.13839425179631371</v>
      </c>
      <c r="J35" s="93">
        <f>'Data Sheet'!J29/'Data Sheet'!I29-1</f>
        <v>2.8540065861690556E-2</v>
      </c>
      <c r="K35" s="93">
        <f>'Data Sheet'!K29/'Data Sheet'!J29-1</f>
        <v>-0.15688367129135539</v>
      </c>
    </row>
    <row r="36" spans="2:12" s="2" customFormat="1" ht="15" customHeight="1" x14ac:dyDescent="0.3">
      <c r="B36" s="84" t="s">
        <v>14</v>
      </c>
      <c r="C36" s="94">
        <f>'Data Sheet'!C30/'Data Sheet'!B30-1</f>
        <v>0.16487935656836461</v>
      </c>
      <c r="D36" s="94">
        <f>'Data Sheet'!D30/'Data Sheet'!C30-1</f>
        <v>0.16110471806674331</v>
      </c>
      <c r="E36" s="94">
        <f>'Data Sheet'!E30/'Data Sheet'!D30-1</f>
        <v>0.11463495209778651</v>
      </c>
      <c r="F36" s="94">
        <f>'Data Sheet'!F30/'Data Sheet'!E30-1</f>
        <v>0.18479549496147007</v>
      </c>
      <c r="G36" s="94">
        <f>'Data Sheet'!G30/'Data Sheet'!F30-1</f>
        <v>0.11056910569105693</v>
      </c>
      <c r="H36" s="94">
        <f>'Data Sheet'!H30/'Data Sheet'!G30-1</f>
        <v>0.13976799189097866</v>
      </c>
      <c r="I36" s="94">
        <f>'Data Sheet'!I30/'Data Sheet'!H30-1</f>
        <v>1.5513833992094828E-2</v>
      </c>
      <c r="J36" s="94">
        <f>'Data Sheet'!J30/'Data Sheet'!I30-1</f>
        <v>3.6197333852291624E-2</v>
      </c>
      <c r="K36" s="94">
        <f>'Data Sheet'!K30/'Data Sheet'!J30-1</f>
        <v>0.41233918677810122</v>
      </c>
    </row>
    <row r="37" spans="2:12" ht="15" customHeight="1" x14ac:dyDescent="0.3">
      <c r="B37" s="88" t="s">
        <v>61</v>
      </c>
      <c r="C37" s="97">
        <f>'Data Sheet'!C31/'Data Sheet'!B31-1</f>
        <v>0.17647058823529416</v>
      </c>
      <c r="D37" s="97">
        <f>'Data Sheet'!D31/'Data Sheet'!C31-1</f>
        <v>0.10000000000000009</v>
      </c>
      <c r="E37" s="97">
        <f>'Data Sheet'!E31/'Data Sheet'!D31-1</f>
        <v>0.13636363636363646</v>
      </c>
      <c r="F37" s="97">
        <f>'Data Sheet'!F31/'Data Sheet'!E31-1</f>
        <v>0.76249999999999996</v>
      </c>
      <c r="G37" s="97">
        <f>'Data Sheet'!G31/'Data Sheet'!F31-1</f>
        <v>-0.16049382716049387</v>
      </c>
      <c r="H37" s="97">
        <f>'Data Sheet'!H31/'Data Sheet'!G31-1</f>
        <v>0.14705882352941169</v>
      </c>
      <c r="I37" s="97">
        <f>'Data Sheet'!I31/'Data Sheet'!H31-1</f>
        <v>7.6923076923076872E-2</v>
      </c>
      <c r="J37" s="97">
        <f>'Data Sheet'!J31/'Data Sheet'!I31-1</f>
        <v>0.26190476190476186</v>
      </c>
      <c r="K37" s="97">
        <f>'Data Sheet'!K31/'Data Sheet'!J31-1</f>
        <v>-0.22641509433962259</v>
      </c>
    </row>
    <row r="38" spans="2:12" ht="15" customHeight="1" x14ac:dyDescent="0.3">
      <c r="B38" s="89"/>
      <c r="C38" s="91"/>
      <c r="D38" s="91"/>
      <c r="E38" s="91"/>
      <c r="F38" s="91"/>
      <c r="G38" s="91"/>
      <c r="H38" s="91"/>
      <c r="I38" s="91"/>
      <c r="J38" s="91"/>
      <c r="K38" s="91"/>
    </row>
    <row r="39" spans="2:12" ht="18.75" customHeight="1" x14ac:dyDescent="0.3">
      <c r="B39" s="359" t="s">
        <v>258</v>
      </c>
      <c r="C39" s="359"/>
      <c r="D39" s="359"/>
      <c r="E39" s="359"/>
      <c r="F39" s="359"/>
      <c r="G39" s="359"/>
      <c r="H39" s="359"/>
      <c r="I39" s="359"/>
      <c r="J39" s="359"/>
      <c r="K39" s="359"/>
      <c r="L39" s="359"/>
    </row>
    <row r="40" spans="2:12" ht="15.75" customHeight="1" x14ac:dyDescent="0.3">
      <c r="B40" s="358" t="s">
        <v>247</v>
      </c>
      <c r="C40" s="358"/>
      <c r="D40" s="358"/>
      <c r="E40" s="358"/>
      <c r="F40" s="358"/>
      <c r="G40" s="358"/>
      <c r="H40" s="358"/>
      <c r="I40" s="358"/>
      <c r="J40" s="358"/>
      <c r="K40" s="358"/>
      <c r="L40" s="358"/>
    </row>
    <row r="41" spans="2:12" ht="18" customHeight="1" x14ac:dyDescent="0.3">
      <c r="B41" s="86" t="s">
        <v>212</v>
      </c>
      <c r="C41" s="87" t="s">
        <v>248</v>
      </c>
      <c r="D41" s="87" t="s">
        <v>249</v>
      </c>
      <c r="E41" s="87" t="s">
        <v>250</v>
      </c>
      <c r="F41" s="87" t="s">
        <v>251</v>
      </c>
      <c r="G41" s="87" t="s">
        <v>252</v>
      </c>
      <c r="H41" s="87" t="s">
        <v>253</v>
      </c>
      <c r="I41" s="87" t="s">
        <v>254</v>
      </c>
      <c r="J41" s="87" t="s">
        <v>255</v>
      </c>
      <c r="K41" s="87" t="s">
        <v>256</v>
      </c>
    </row>
    <row r="42" spans="2:12" ht="15" customHeight="1" x14ac:dyDescent="0.3">
      <c r="B42" s="88" t="s">
        <v>24</v>
      </c>
      <c r="C42" s="95">
        <f>'Data Sheet'!C57-'Data Sheet'!B57</f>
        <v>0</v>
      </c>
      <c r="D42" s="95">
        <f>'Data Sheet'!D57-'Data Sheet'!C57</f>
        <v>0</v>
      </c>
      <c r="E42" s="95">
        <f>'Data Sheet'!E57-'Data Sheet'!D57</f>
        <v>0</v>
      </c>
      <c r="F42" s="95">
        <f>'Data Sheet'!F57-'Data Sheet'!E57</f>
        <v>19</v>
      </c>
      <c r="G42" s="95">
        <f>'Data Sheet'!G57-'Data Sheet'!F57</f>
        <v>0</v>
      </c>
      <c r="H42" s="95">
        <f>'Data Sheet'!H57-'Data Sheet'!G57</f>
        <v>0</v>
      </c>
      <c r="I42" s="95">
        <f>'Data Sheet'!I57-'Data Sheet'!H57</f>
        <v>0</v>
      </c>
      <c r="J42" s="95">
        <f>'Data Sheet'!J57-'Data Sheet'!I57</f>
        <v>0</v>
      </c>
      <c r="K42" s="95">
        <f>'Data Sheet'!K57-'Data Sheet'!J57</f>
        <v>0</v>
      </c>
    </row>
    <row r="43" spans="2:12" ht="15" customHeight="1" x14ac:dyDescent="0.3">
      <c r="B43" s="88" t="s">
        <v>240</v>
      </c>
      <c r="C43" s="96">
        <f>'Data Sheet'!C58-'Data Sheet'!B58</f>
        <v>537</v>
      </c>
      <c r="D43" s="96">
        <f>'Data Sheet'!D58-'Data Sheet'!C58</f>
        <v>586</v>
      </c>
      <c r="E43" s="96">
        <f>'Data Sheet'!E58-'Data Sheet'!D58</f>
        <v>362</v>
      </c>
      <c r="F43" s="96">
        <f>'Data Sheet'!F58-'Data Sheet'!E58</f>
        <v>39426</v>
      </c>
      <c r="G43" s="96">
        <f>'Data Sheet'!G58-'Data Sheet'!F58</f>
        <v>1387</v>
      </c>
      <c r="H43" s="96">
        <f>'Data Sheet'!H58-'Data Sheet'!G58</f>
        <v>1243</v>
      </c>
      <c r="I43" s="96">
        <f>'Data Sheet'!I58-'Data Sheet'!H58</f>
        <v>914</v>
      </c>
      <c r="J43" s="96">
        <f>'Data Sheet'!J58-'Data Sheet'!I58</f>
        <v>-1816</v>
      </c>
      <c r="K43" s="96">
        <f>'Data Sheet'!K58-'Data Sheet'!J58</f>
        <v>-663</v>
      </c>
    </row>
    <row r="44" spans="2:12" ht="15" customHeight="1" x14ac:dyDescent="0.3">
      <c r="B44" s="88" t="s">
        <v>62</v>
      </c>
      <c r="C44" s="96">
        <f>'Data Sheet'!C59-'Data Sheet'!B59</f>
        <v>-277</v>
      </c>
      <c r="D44" s="96">
        <f>'Data Sheet'!D59-'Data Sheet'!C59</f>
        <v>99</v>
      </c>
      <c r="E44" s="96">
        <f>'Data Sheet'!E59-'Data Sheet'!D59</f>
        <v>-99</v>
      </c>
      <c r="F44" s="96">
        <f>'Data Sheet'!F59-'Data Sheet'!E59</f>
        <v>0</v>
      </c>
      <c r="G44" s="96">
        <f>'Data Sheet'!G59-'Data Sheet'!F59</f>
        <v>1043</v>
      </c>
      <c r="H44" s="96">
        <f>'Data Sheet'!H59-'Data Sheet'!G59</f>
        <v>176</v>
      </c>
      <c r="I44" s="96">
        <f>'Data Sheet'!I59-'Data Sheet'!H59</f>
        <v>265</v>
      </c>
      <c r="J44" s="96">
        <f>'Data Sheet'!J59-'Data Sheet'!I59</f>
        <v>164</v>
      </c>
      <c r="K44" s="96">
        <f>'Data Sheet'!K59-'Data Sheet'!J59</f>
        <v>-170</v>
      </c>
    </row>
    <row r="45" spans="2:12" ht="15" customHeight="1" x14ac:dyDescent="0.3">
      <c r="B45" s="88" t="s">
        <v>63</v>
      </c>
      <c r="C45" s="96">
        <f>'Data Sheet'!C60-'Data Sheet'!B60</f>
        <v>1896</v>
      </c>
      <c r="D45" s="96">
        <f>'Data Sheet'!D60-'Data Sheet'!C60</f>
        <v>82</v>
      </c>
      <c r="E45" s="96">
        <f>'Data Sheet'!E60-'Data Sheet'!D60</f>
        <v>1261</v>
      </c>
      <c r="F45" s="96">
        <f>'Data Sheet'!F60-'Data Sheet'!E60</f>
        <v>9142</v>
      </c>
      <c r="G45" s="96">
        <f>'Data Sheet'!G60-'Data Sheet'!F60</f>
        <v>-664</v>
      </c>
      <c r="H45" s="96">
        <f>'Data Sheet'!H60-'Data Sheet'!G60</f>
        <v>1152</v>
      </c>
      <c r="I45" s="96">
        <f>'Data Sheet'!I60-'Data Sheet'!H60</f>
        <v>4233</v>
      </c>
      <c r="J45" s="96">
        <f>'Data Sheet'!J60-'Data Sheet'!I60</f>
        <v>3026</v>
      </c>
      <c r="K45" s="96">
        <f>'Data Sheet'!K60-'Data Sheet'!J60</f>
        <v>708</v>
      </c>
    </row>
    <row r="46" spans="2:12" s="2" customFormat="1" ht="15" customHeight="1" x14ac:dyDescent="0.3">
      <c r="B46" s="81" t="s">
        <v>241</v>
      </c>
      <c r="C46" s="95">
        <f>'Data Sheet'!C61-'Data Sheet'!B61</f>
        <v>2156</v>
      </c>
      <c r="D46" s="95">
        <f>'Data Sheet'!D61-'Data Sheet'!C61</f>
        <v>767</v>
      </c>
      <c r="E46" s="95">
        <f>'Data Sheet'!E61-'Data Sheet'!D61</f>
        <v>1524</v>
      </c>
      <c r="F46" s="95">
        <f>'Data Sheet'!F61-'Data Sheet'!E61</f>
        <v>48587</v>
      </c>
      <c r="G46" s="95">
        <f>'Data Sheet'!G61-'Data Sheet'!F61</f>
        <v>1766</v>
      </c>
      <c r="H46" s="95">
        <f>'Data Sheet'!H61-'Data Sheet'!G61</f>
        <v>2571</v>
      </c>
      <c r="I46" s="95">
        <f>'Data Sheet'!I61-'Data Sheet'!H61</f>
        <v>5412</v>
      </c>
      <c r="J46" s="95">
        <f>'Data Sheet'!J61-'Data Sheet'!I61</f>
        <v>1374</v>
      </c>
      <c r="K46" s="95">
        <f>'Data Sheet'!K61-'Data Sheet'!J61</f>
        <v>-125</v>
      </c>
    </row>
    <row r="47" spans="2:12" ht="15" customHeight="1" x14ac:dyDescent="0.3">
      <c r="B47" s="88" t="s">
        <v>27</v>
      </c>
      <c r="C47" s="96">
        <f>'Data Sheet'!C62-'Data Sheet'!B62</f>
        <v>109</v>
      </c>
      <c r="D47" s="96">
        <f>'Data Sheet'!D62-'Data Sheet'!C62</f>
        <v>187</v>
      </c>
      <c r="E47" s="96">
        <f>'Data Sheet'!E62-'Data Sheet'!D62</f>
        <v>764</v>
      </c>
      <c r="F47" s="96">
        <f>'Data Sheet'!F62-'Data Sheet'!E62</f>
        <v>45964</v>
      </c>
      <c r="G47" s="96">
        <f>'Data Sheet'!G62-'Data Sheet'!F62</f>
        <v>30</v>
      </c>
      <c r="H47" s="96">
        <f>'Data Sheet'!H62-'Data Sheet'!G62</f>
        <v>1205</v>
      </c>
      <c r="I47" s="96">
        <f>'Data Sheet'!I62-'Data Sheet'!H62</f>
        <v>1066</v>
      </c>
      <c r="J47" s="96">
        <f>'Data Sheet'!J62-'Data Sheet'!I62</f>
        <v>591</v>
      </c>
      <c r="K47" s="96">
        <f>'Data Sheet'!K62-'Data Sheet'!J62</f>
        <v>3093</v>
      </c>
    </row>
    <row r="48" spans="2:12" ht="15" customHeight="1" x14ac:dyDescent="0.3">
      <c r="B48" s="88" t="s">
        <v>243</v>
      </c>
      <c r="C48" s="96">
        <f>'Data Sheet'!C63-'Data Sheet'!B63</f>
        <v>232</v>
      </c>
      <c r="D48" s="96">
        <f>'Data Sheet'!D63-'Data Sheet'!C63</f>
        <v>-55</v>
      </c>
      <c r="E48" s="96">
        <f>'Data Sheet'!E63-'Data Sheet'!D63</f>
        <v>191</v>
      </c>
      <c r="F48" s="96">
        <f>'Data Sheet'!F63-'Data Sheet'!E63</f>
        <v>148</v>
      </c>
      <c r="G48" s="96">
        <f>'Data Sheet'!G63-'Data Sheet'!F63</f>
        <v>568</v>
      </c>
      <c r="H48" s="96">
        <f>'Data Sheet'!H63-'Data Sheet'!G63</f>
        <v>-181</v>
      </c>
      <c r="I48" s="96">
        <f>'Data Sheet'!I63-'Data Sheet'!H63</f>
        <v>-107</v>
      </c>
      <c r="J48" s="96">
        <f>'Data Sheet'!J63-'Data Sheet'!I63</f>
        <v>-16</v>
      </c>
      <c r="K48" s="96">
        <f>'Data Sheet'!K63-'Data Sheet'!J63</f>
        <v>-129</v>
      </c>
    </row>
    <row r="49" spans="2:12" ht="15" customHeight="1" x14ac:dyDescent="0.3">
      <c r="B49" s="88" t="s">
        <v>29</v>
      </c>
      <c r="C49" s="96">
        <f>'Data Sheet'!C64-'Data Sheet'!B64</f>
        <v>-921</v>
      </c>
      <c r="D49" s="96">
        <f>'Data Sheet'!D64-'Data Sheet'!C64</f>
        <v>-157</v>
      </c>
      <c r="E49" s="96">
        <f>'Data Sheet'!E64-'Data Sheet'!D64</f>
        <v>-1461</v>
      </c>
      <c r="F49" s="96">
        <f>'Data Sheet'!F64-'Data Sheet'!E64</f>
        <v>1454</v>
      </c>
      <c r="G49" s="96">
        <f>'Data Sheet'!G64-'Data Sheet'!F64</f>
        <v>812</v>
      </c>
      <c r="H49" s="96">
        <f>'Data Sheet'!H64-'Data Sheet'!G64</f>
        <v>-639</v>
      </c>
      <c r="I49" s="96">
        <f>'Data Sheet'!I64-'Data Sheet'!H64</f>
        <v>1743</v>
      </c>
      <c r="J49" s="96">
        <f>'Data Sheet'!J64-'Data Sheet'!I64</f>
        <v>-815</v>
      </c>
      <c r="K49" s="96">
        <f>'Data Sheet'!K64-'Data Sheet'!J64</f>
        <v>549</v>
      </c>
    </row>
    <row r="50" spans="2:12" ht="15" customHeight="1" x14ac:dyDescent="0.3">
      <c r="B50" s="88" t="s">
        <v>64</v>
      </c>
      <c r="C50" s="96">
        <f>'Data Sheet'!C65-'Data Sheet'!B65</f>
        <v>2736</v>
      </c>
      <c r="D50" s="96">
        <f>'Data Sheet'!D65-'Data Sheet'!C65</f>
        <v>792</v>
      </c>
      <c r="E50" s="96">
        <f>'Data Sheet'!E65-'Data Sheet'!D65</f>
        <v>2030</v>
      </c>
      <c r="F50" s="96">
        <f>'Data Sheet'!F65-'Data Sheet'!E65</f>
        <v>1021</v>
      </c>
      <c r="G50" s="96">
        <f>'Data Sheet'!G65-'Data Sheet'!F65</f>
        <v>356</v>
      </c>
      <c r="H50" s="96">
        <f>'Data Sheet'!H65-'Data Sheet'!G65</f>
        <v>2186</v>
      </c>
      <c r="I50" s="96">
        <f>'Data Sheet'!I65-'Data Sheet'!H65</f>
        <v>2710</v>
      </c>
      <c r="J50" s="96">
        <f>'Data Sheet'!J65-'Data Sheet'!I65</f>
        <v>1614</v>
      </c>
      <c r="K50" s="96">
        <f>'Data Sheet'!K65-'Data Sheet'!J65</f>
        <v>-3638</v>
      </c>
    </row>
    <row r="51" spans="2:12" s="2" customFormat="1" ht="15" customHeight="1" x14ac:dyDescent="0.3">
      <c r="B51" s="81" t="s">
        <v>216</v>
      </c>
      <c r="C51" s="95">
        <f>'Data Sheet'!C66-'Data Sheet'!B66</f>
        <v>2156</v>
      </c>
      <c r="D51" s="95">
        <f>'Data Sheet'!D66-'Data Sheet'!C66</f>
        <v>767</v>
      </c>
      <c r="E51" s="95">
        <f>'Data Sheet'!E66-'Data Sheet'!D66</f>
        <v>1524</v>
      </c>
      <c r="F51" s="95">
        <f>'Data Sheet'!F66-'Data Sheet'!E66</f>
        <v>48587</v>
      </c>
      <c r="G51" s="95">
        <f>'Data Sheet'!G66-'Data Sheet'!F66</f>
        <v>1766</v>
      </c>
      <c r="H51" s="95">
        <f>'Data Sheet'!H66-'Data Sheet'!G66</f>
        <v>2571</v>
      </c>
      <c r="I51" s="95">
        <f>'Data Sheet'!I66-'Data Sheet'!H66</f>
        <v>5412</v>
      </c>
      <c r="J51" s="95">
        <f>'Data Sheet'!J66-'Data Sheet'!I66</f>
        <v>1374</v>
      </c>
      <c r="K51" s="95">
        <f>'Data Sheet'!K66-'Data Sheet'!J66</f>
        <v>-125</v>
      </c>
    </row>
    <row r="53" spans="2:12" ht="15.75" customHeight="1" x14ac:dyDescent="0.3">
      <c r="B53" s="358" t="s">
        <v>257</v>
      </c>
      <c r="C53" s="358"/>
      <c r="D53" s="358"/>
      <c r="E53" s="358"/>
      <c r="F53" s="358"/>
      <c r="G53" s="358"/>
      <c r="H53" s="358"/>
      <c r="I53" s="358"/>
      <c r="J53" s="358"/>
      <c r="K53" s="358"/>
      <c r="L53" s="358"/>
    </row>
    <row r="54" spans="2:12" ht="18" customHeight="1" x14ac:dyDescent="0.3">
      <c r="B54" s="86" t="s">
        <v>212</v>
      </c>
      <c r="C54" s="87" t="s">
        <v>248</v>
      </c>
      <c r="D54" s="87" t="s">
        <v>249</v>
      </c>
      <c r="E54" s="87" t="s">
        <v>250</v>
      </c>
      <c r="F54" s="87" t="s">
        <v>251</v>
      </c>
      <c r="G54" s="87" t="s">
        <v>252</v>
      </c>
      <c r="H54" s="87" t="s">
        <v>253</v>
      </c>
      <c r="I54" s="87" t="s">
        <v>254</v>
      </c>
      <c r="J54" s="87" t="s">
        <v>255</v>
      </c>
      <c r="K54" s="87" t="s">
        <v>256</v>
      </c>
    </row>
    <row r="55" spans="2:12" ht="15" customHeight="1" x14ac:dyDescent="0.3">
      <c r="B55" s="88" t="s">
        <v>24</v>
      </c>
      <c r="C55" s="93">
        <f>'Data Sheet'!C57/'Data Sheet'!B57-1</f>
        <v>0</v>
      </c>
      <c r="D55" s="93">
        <f>'Data Sheet'!D57/'Data Sheet'!C57-1</f>
        <v>0</v>
      </c>
      <c r="E55" s="93">
        <f>'Data Sheet'!E57/'Data Sheet'!D57-1</f>
        <v>0</v>
      </c>
      <c r="F55" s="93">
        <f>'Data Sheet'!F57/'Data Sheet'!E57-1</f>
        <v>8.7962962962963021E-2</v>
      </c>
      <c r="G55" s="93">
        <f>'Data Sheet'!G57/'Data Sheet'!F57-1</f>
        <v>0</v>
      </c>
      <c r="H55" s="93">
        <f>'Data Sheet'!H57/'Data Sheet'!G57-1</f>
        <v>0</v>
      </c>
      <c r="I55" s="93">
        <f>'Data Sheet'!I57/'Data Sheet'!H57-1</f>
        <v>0</v>
      </c>
      <c r="J55" s="93">
        <f>'Data Sheet'!J57/'Data Sheet'!I57-1</f>
        <v>0</v>
      </c>
      <c r="K55" s="93">
        <f>'Data Sheet'!K57/'Data Sheet'!J57-1</f>
        <v>0</v>
      </c>
    </row>
    <row r="56" spans="2:12" ht="15" customHeight="1" x14ac:dyDescent="0.3">
      <c r="B56" s="88" t="s">
        <v>240</v>
      </c>
      <c r="C56" s="93">
        <f>'Data Sheet'!C58/'Data Sheet'!B58-1</f>
        <v>8.2261029411764719E-2</v>
      </c>
      <c r="D56" s="93">
        <f>'Data Sheet'!D58/'Data Sheet'!C58-1</f>
        <v>8.2944090587402597E-2</v>
      </c>
      <c r="E56" s="93">
        <f>'Data Sheet'!E58/'Data Sheet'!D58-1</f>
        <v>4.7314076591295162E-2</v>
      </c>
      <c r="F56" s="93">
        <f>'Data Sheet'!F58/'Data Sheet'!E58-1</f>
        <v>4.9202545862972666</v>
      </c>
      <c r="G56" s="93">
        <f>'Data Sheet'!G58/'Data Sheet'!F58-1</f>
        <v>2.9237547165833933E-2</v>
      </c>
      <c r="H56" s="93">
        <f>'Data Sheet'!H58/'Data Sheet'!G58-1</f>
        <v>2.5457747921189489E-2</v>
      </c>
      <c r="I56" s="93">
        <f>'Data Sheet'!I58/'Data Sheet'!H58-1</f>
        <v>1.8254808364457142E-2</v>
      </c>
      <c r="J56" s="93">
        <f>'Data Sheet'!J58/'Data Sheet'!I58-1</f>
        <v>-3.5619716376046884E-2</v>
      </c>
      <c r="K56" s="93">
        <f>'Data Sheet'!K58/'Data Sheet'!J58-1</f>
        <v>-1.3484654341326507E-2</v>
      </c>
    </row>
    <row r="57" spans="2:12" ht="15" customHeight="1" x14ac:dyDescent="0.3">
      <c r="B57" s="88" t="s">
        <v>62</v>
      </c>
      <c r="C57" s="93">
        <f>'Data Sheet'!C59/'Data Sheet'!B59-1</f>
        <v>-1</v>
      </c>
      <c r="D57" s="93">
        <f>IFERROR('Data Sheet'!D59/'Data Sheet'!C59-1,0)</f>
        <v>0</v>
      </c>
      <c r="E57" s="93">
        <f>IFERROR('Data Sheet'!E59/'Data Sheet'!D59-1,0)</f>
        <v>-1</v>
      </c>
      <c r="F57" s="93">
        <f>IFERROR('Data Sheet'!F59/'Data Sheet'!E59-1,0)</f>
        <v>0</v>
      </c>
      <c r="G57" s="93">
        <f>IFERROR('Data Sheet'!G59/'Data Sheet'!F59-1,0)</f>
        <v>0</v>
      </c>
      <c r="H57" s="93">
        <f>'Data Sheet'!H59/'Data Sheet'!G59-1</f>
        <v>0.16874400767018227</v>
      </c>
      <c r="I57" s="93">
        <f>'Data Sheet'!I59/'Data Sheet'!H59-1</f>
        <v>0.21739130434782616</v>
      </c>
      <c r="J57" s="93">
        <f>'Data Sheet'!J59/'Data Sheet'!I59-1</f>
        <v>0.11051212938005395</v>
      </c>
      <c r="K57" s="93">
        <f>'Data Sheet'!K59/'Data Sheet'!J59-1</f>
        <v>-0.10315533980582525</v>
      </c>
    </row>
    <row r="58" spans="2:12" ht="15" customHeight="1" x14ac:dyDescent="0.3">
      <c r="B58" s="88" t="s">
        <v>63</v>
      </c>
      <c r="C58" s="93">
        <f>'Data Sheet'!C60/'Data Sheet'!B60-1</f>
        <v>0.21830742659758196</v>
      </c>
      <c r="D58" s="93">
        <f>'Data Sheet'!D60/'Data Sheet'!C60-1</f>
        <v>7.7497401001795918E-3</v>
      </c>
      <c r="E58" s="93">
        <f>'Data Sheet'!E60/'Data Sheet'!D60-1</f>
        <v>0.11825940166932392</v>
      </c>
      <c r="F58" s="93">
        <f>'Data Sheet'!F60/'Data Sheet'!E60-1</f>
        <v>0.76668903052666892</v>
      </c>
      <c r="G58" s="93">
        <f>'Data Sheet'!G60/'Data Sheet'!F60-1</f>
        <v>-3.1519984809645907E-2</v>
      </c>
      <c r="H58" s="93">
        <f>'Data Sheet'!H60/'Data Sheet'!G60-1</f>
        <v>5.6465052445838548E-2</v>
      </c>
      <c r="I58" s="93">
        <f>'Data Sheet'!I60/'Data Sheet'!H60-1</f>
        <v>0.19639046116730063</v>
      </c>
      <c r="J58" s="93">
        <f>'Data Sheet'!J60/'Data Sheet'!I60-1</f>
        <v>0.11734594950944266</v>
      </c>
      <c r="K58" s="93">
        <f>'Data Sheet'!K60/'Data Sheet'!J60-1</f>
        <v>2.4572241696456443E-2</v>
      </c>
    </row>
    <row r="59" spans="2:12" ht="15" customHeight="1" x14ac:dyDescent="0.3">
      <c r="B59" s="81" t="s">
        <v>241</v>
      </c>
      <c r="C59" s="93">
        <f>'Data Sheet'!C61/'Data Sheet'!B61-1</f>
        <v>0.13727237998217245</v>
      </c>
      <c r="D59" s="93">
        <f>'Data Sheet'!D61/'Data Sheet'!C61-1</f>
        <v>4.2940320232896623E-2</v>
      </c>
      <c r="E59" s="93">
        <f>'Data Sheet'!E61/'Data Sheet'!D61-1</f>
        <v>8.1807933866552052E-2</v>
      </c>
      <c r="F59" s="93">
        <f>'Data Sheet'!F61/'Data Sheet'!E61-1</f>
        <v>2.4109065647794372</v>
      </c>
      <c r="G59" s="93">
        <f>'Data Sheet'!G61/'Data Sheet'!F61-1</f>
        <v>2.5691009601396475E-2</v>
      </c>
      <c r="H59" s="93">
        <f>'Data Sheet'!H61/'Data Sheet'!G61-1</f>
        <v>3.646498170368484E-2</v>
      </c>
      <c r="I59" s="93">
        <f>'Data Sheet'!I61/'Data Sheet'!H61-1</f>
        <v>7.4058869411716355E-2</v>
      </c>
      <c r="J59" s="93">
        <f>'Data Sheet'!J61/'Data Sheet'!I61-1</f>
        <v>1.7505637732675883E-2</v>
      </c>
      <c r="K59" s="93">
        <f>'Data Sheet'!K61/'Data Sheet'!J61-1</f>
        <v>-1.5651803713859769E-3</v>
      </c>
    </row>
    <row r="60" spans="2:12" ht="15" customHeight="1" x14ac:dyDescent="0.3">
      <c r="B60" s="88" t="s">
        <v>27</v>
      </c>
      <c r="C60" s="93">
        <f>'Data Sheet'!C62/'Data Sheet'!B62-1</f>
        <v>2.4666214075582671E-2</v>
      </c>
      <c r="D60" s="93">
        <f>'Data Sheet'!D62/'Data Sheet'!C62-1</f>
        <v>4.1298586572438234E-2</v>
      </c>
      <c r="E60" s="93">
        <f>'Data Sheet'!E62/'Data Sheet'!D62-1</f>
        <v>0.16203605514316011</v>
      </c>
      <c r="F60" s="93">
        <f>'Data Sheet'!F62/'Data Sheet'!E62-1</f>
        <v>8.389122102573463</v>
      </c>
      <c r="G60" s="93">
        <f>'Data Sheet'!G62/'Data Sheet'!F62-1</f>
        <v>5.831697218281473E-4</v>
      </c>
      <c r="H60" s="93">
        <f>'Data Sheet'!H62/'Data Sheet'!G62-1</f>
        <v>2.341033163017503E-2</v>
      </c>
      <c r="I60" s="93">
        <f>'Data Sheet'!I62/'Data Sheet'!H62-1</f>
        <v>2.0236151714188022E-2</v>
      </c>
      <c r="J60" s="93">
        <f>'Data Sheet'!J62/'Data Sheet'!I62-1</f>
        <v>1.0996576362012567E-2</v>
      </c>
      <c r="K60" s="93">
        <f>'Data Sheet'!K62/'Data Sheet'!J62-1</f>
        <v>5.6924634213674441E-2</v>
      </c>
    </row>
    <row r="61" spans="2:12" ht="15" customHeight="1" x14ac:dyDescent="0.3">
      <c r="B61" s="88" t="s">
        <v>243</v>
      </c>
      <c r="C61" s="93">
        <f>'Data Sheet'!C63/'Data Sheet'!B63-1</f>
        <v>1.0131004366812228</v>
      </c>
      <c r="D61" s="93">
        <f>'Data Sheet'!D63/'Data Sheet'!C63-1</f>
        <v>-0.11930585683297179</v>
      </c>
      <c r="E61" s="93">
        <f>'Data Sheet'!E63/'Data Sheet'!D63-1</f>
        <v>0.47044334975369462</v>
      </c>
      <c r="F61" s="93">
        <f>'Data Sheet'!F63/'Data Sheet'!E63-1</f>
        <v>0.24790619765494126</v>
      </c>
      <c r="G61" s="93">
        <f>'Data Sheet'!G63/'Data Sheet'!F63-1</f>
        <v>0.76241610738255039</v>
      </c>
      <c r="H61" s="93">
        <f>'Data Sheet'!H63/'Data Sheet'!G63-1</f>
        <v>-0.1378522467631379</v>
      </c>
      <c r="I61" s="93">
        <f>'Data Sheet'!I63/'Data Sheet'!H63-1</f>
        <v>-9.4522968197879864E-2</v>
      </c>
      <c r="J61" s="93">
        <f>'Data Sheet'!J63/'Data Sheet'!I63-1</f>
        <v>-1.5609756097560989E-2</v>
      </c>
      <c r="K61" s="93">
        <f>'Data Sheet'!K63/'Data Sheet'!J63-1</f>
        <v>-0.12784935579781964</v>
      </c>
    </row>
    <row r="62" spans="2:12" ht="15" customHeight="1" x14ac:dyDescent="0.3">
      <c r="B62" s="88" t="s">
        <v>29</v>
      </c>
      <c r="C62" s="93">
        <f>'Data Sheet'!C64/'Data Sheet'!B64-1</f>
        <v>-0.24275171323141798</v>
      </c>
      <c r="D62" s="93">
        <f>'Data Sheet'!D64/'Data Sheet'!C64-1</f>
        <v>-5.4646710755308026E-2</v>
      </c>
      <c r="E62" s="93">
        <f>'Data Sheet'!E64/'Data Sheet'!D64-1</f>
        <v>-0.53792341678939615</v>
      </c>
      <c r="F62" s="93">
        <f>'Data Sheet'!F64/'Data Sheet'!E64-1</f>
        <v>1.1585657370517928</v>
      </c>
      <c r="G62" s="93">
        <f>'Data Sheet'!G64/'Data Sheet'!F64-1</f>
        <v>0.29974160206718348</v>
      </c>
      <c r="H62" s="93">
        <f>'Data Sheet'!H64/'Data Sheet'!G64-1</f>
        <v>-0.18148253337120135</v>
      </c>
      <c r="I62" s="93">
        <f>'Data Sheet'!I64/'Data Sheet'!H64-1</f>
        <v>0.60478834142956273</v>
      </c>
      <c r="J62" s="93">
        <f>'Data Sheet'!J64/'Data Sheet'!I64-1</f>
        <v>-0.17621621621621619</v>
      </c>
      <c r="K62" s="93">
        <f>'Data Sheet'!K64/'Data Sheet'!J64-1</f>
        <v>0.1440944881889763</v>
      </c>
    </row>
    <row r="63" spans="2:12" ht="15" customHeight="1" x14ac:dyDescent="0.3">
      <c r="B63" s="88" t="s">
        <v>64</v>
      </c>
      <c r="C63" s="93">
        <f>'Data Sheet'!C65/'Data Sheet'!B65-1</f>
        <v>0.37665198237885456</v>
      </c>
      <c r="D63" s="93">
        <f>'Data Sheet'!D65/'Data Sheet'!C65-1</f>
        <v>7.9199999999999937E-2</v>
      </c>
      <c r="E63" s="93">
        <f>'Data Sheet'!E65/'Data Sheet'!D65-1</f>
        <v>0.18810229799851741</v>
      </c>
      <c r="F63" s="93">
        <f>'Data Sheet'!F65/'Data Sheet'!E65-1</f>
        <v>7.9628763063484653E-2</v>
      </c>
      <c r="G63" s="93">
        <f>'Data Sheet'!G65/'Data Sheet'!F65-1</f>
        <v>2.5716968865130418E-2</v>
      </c>
      <c r="H63" s="93">
        <f>'Data Sheet'!H65/'Data Sheet'!G65-1</f>
        <v>0.15395450383829856</v>
      </c>
      <c r="I63" s="93">
        <f>'Data Sheet'!I65/'Data Sheet'!H65-1</f>
        <v>0.1653951785169363</v>
      </c>
      <c r="J63" s="93">
        <f>'Data Sheet'!J65/'Data Sheet'!I65-1</f>
        <v>8.4524744697564769E-2</v>
      </c>
      <c r="K63" s="93">
        <f>'Data Sheet'!K65/'Data Sheet'!J65-1</f>
        <v>-0.17567241296054859</v>
      </c>
    </row>
    <row r="64" spans="2:12" ht="15" customHeight="1" x14ac:dyDescent="0.3">
      <c r="B64" s="81" t="s">
        <v>216</v>
      </c>
      <c r="C64" s="93">
        <f>'Data Sheet'!C66/'Data Sheet'!B66-1</f>
        <v>0.13727237998217245</v>
      </c>
      <c r="D64" s="93">
        <f>'Data Sheet'!D66/'Data Sheet'!C66-1</f>
        <v>4.2940320232896623E-2</v>
      </c>
      <c r="E64" s="93">
        <f>'Data Sheet'!E66/'Data Sheet'!D66-1</f>
        <v>8.1807933866552052E-2</v>
      </c>
      <c r="F64" s="93">
        <f>'Data Sheet'!F66/'Data Sheet'!E66-1</f>
        <v>2.4109065647794372</v>
      </c>
      <c r="G64" s="93">
        <f>'Data Sheet'!G66/'Data Sheet'!F66-1</f>
        <v>2.5691009601396475E-2</v>
      </c>
      <c r="H64" s="93">
        <f>'Data Sheet'!H66/'Data Sheet'!G66-1</f>
        <v>3.646498170368484E-2</v>
      </c>
      <c r="I64" s="93">
        <f>'Data Sheet'!I66/'Data Sheet'!H66-1</f>
        <v>7.4058869411716355E-2</v>
      </c>
      <c r="J64" s="93">
        <f>'Data Sheet'!J66/'Data Sheet'!I66-1</f>
        <v>1.7505637732675883E-2</v>
      </c>
      <c r="K64" s="93">
        <f>'Data Sheet'!K66/'Data Sheet'!J66-1</f>
        <v>-1.5651803713859769E-3</v>
      </c>
    </row>
  </sheetData>
  <mergeCells count="6">
    <mergeCell ref="B40:L40"/>
    <mergeCell ref="B53:L53"/>
    <mergeCell ref="B2:L2"/>
    <mergeCell ref="B3:L3"/>
    <mergeCell ref="B21:L21"/>
    <mergeCell ref="B39:L3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340CB-48B2-4AEE-AEC6-FD580B237D02}">
  <sheetPr>
    <tabColor rgb="FF1B2A63"/>
  </sheetPr>
  <dimension ref="B2:L33"/>
  <sheetViews>
    <sheetView showGridLines="0" zoomScale="76" workbookViewId="0">
      <selection activeCell="B31" sqref="B31"/>
    </sheetView>
  </sheetViews>
  <sheetFormatPr defaultRowHeight="14.4" x14ac:dyDescent="0.3"/>
  <cols>
    <col min="1" max="1" width="2.109375" customWidth="1"/>
    <col min="2" max="2" width="44.44140625" bestFit="1" customWidth="1"/>
  </cols>
  <sheetData>
    <row r="2" spans="2:12" x14ac:dyDescent="0.3">
      <c r="B2" s="66" t="s">
        <v>176</v>
      </c>
      <c r="C2" s="67" t="s">
        <v>177</v>
      </c>
      <c r="D2" s="67" t="s">
        <v>178</v>
      </c>
      <c r="E2" s="67" t="s">
        <v>179</v>
      </c>
      <c r="F2" s="67" t="s">
        <v>180</v>
      </c>
      <c r="G2" s="67" t="s">
        <v>181</v>
      </c>
      <c r="H2" s="67" t="s">
        <v>182</v>
      </c>
      <c r="I2" s="67" t="s">
        <v>183</v>
      </c>
      <c r="J2" s="67" t="s">
        <v>184</v>
      </c>
      <c r="K2" s="67" t="s">
        <v>185</v>
      </c>
      <c r="L2" s="67" t="s">
        <v>186</v>
      </c>
    </row>
    <row r="3" spans="2:12" x14ac:dyDescent="0.3">
      <c r="B3" s="361" t="s">
        <v>187</v>
      </c>
      <c r="C3" s="361"/>
      <c r="D3" s="361"/>
      <c r="E3" s="361"/>
      <c r="F3" s="361"/>
      <c r="G3" s="361"/>
      <c r="H3" s="361"/>
      <c r="I3" s="361"/>
      <c r="J3" s="361"/>
      <c r="K3" s="361"/>
      <c r="L3" s="361"/>
    </row>
    <row r="4" spans="2:12" ht="41.4" customHeight="1" x14ac:dyDescent="0.3">
      <c r="B4" s="68" t="s">
        <v>188</v>
      </c>
      <c r="C4" s="69">
        <f>'Data Sheet'!B65/'Data Sheet'!B60</f>
        <v>0.83638457109959696</v>
      </c>
      <c r="D4" s="69">
        <f>'Data Sheet'!C65/'Data Sheet'!C60</f>
        <v>0.9450902561194594</v>
      </c>
      <c r="E4" s="69">
        <f>'Data Sheet'!D65/'Data Sheet'!D60</f>
        <v>1.0120979086561006</v>
      </c>
      <c r="F4" s="69">
        <f>'Data Sheet'!E65/'Data Sheet'!E60</f>
        <v>1.0753102985575311</v>
      </c>
      <c r="G4" s="69">
        <f>'Data Sheet'!F65/'Data Sheet'!F60</f>
        <v>0.65712522548181906</v>
      </c>
      <c r="H4" s="69">
        <f>'Data Sheet'!G65/'Data Sheet'!G60</f>
        <v>0.69596118027644349</v>
      </c>
      <c r="I4" s="69">
        <f>'Data Sheet'!H65/'Data Sheet'!H60</f>
        <v>0.76018372459868233</v>
      </c>
      <c r="J4" s="69">
        <f>'Data Sheet'!I65/'Data Sheet'!I60</f>
        <v>0.7404893938806375</v>
      </c>
      <c r="K4" s="69">
        <f>'Data Sheet'!J65/'Data Sheet'!J60</f>
        <v>0.71873806962135145</v>
      </c>
      <c r="L4" s="69">
        <f>'Data Sheet'!K65/'Data Sheet'!K60</f>
        <v>0.57826631889163649</v>
      </c>
    </row>
    <row r="5" spans="2:12" ht="39" customHeight="1" x14ac:dyDescent="0.3">
      <c r="B5" s="68" t="s">
        <v>189</v>
      </c>
      <c r="C5" s="69">
        <f>('Data Sheet'!B65-'Data Sheet'!B68)/'Data Sheet'!B60</f>
        <v>0.54381116868163504</v>
      </c>
      <c r="D5" s="69">
        <f>('Data Sheet'!C65-'Data Sheet'!C68)/'Data Sheet'!C60</f>
        <v>0.70758907475663924</v>
      </c>
      <c r="E5" s="69">
        <f>('Data Sheet'!D65-'Data Sheet'!D68)/'Data Sheet'!D60</f>
        <v>0.770702428959955</v>
      </c>
      <c r="F5" s="69">
        <f>('Data Sheet'!E65-'Data Sheet'!E68)/'Data Sheet'!E60</f>
        <v>0.84325729620932577</v>
      </c>
      <c r="G5" s="69">
        <f>('Data Sheet'!F65-'Data Sheet'!F68)/'Data Sheet'!F60</f>
        <v>0.48723060856356215</v>
      </c>
      <c r="H5" s="69">
        <f>('Data Sheet'!G65-'Data Sheet'!G68)/'Data Sheet'!G60</f>
        <v>0.49519654935790608</v>
      </c>
      <c r="I5" s="69">
        <f>('Data Sheet'!H65-'Data Sheet'!H68)/'Data Sheet'!H60</f>
        <v>0.56295815161918905</v>
      </c>
      <c r="J5" s="69">
        <f>('Data Sheet'!I65-'Data Sheet'!I68)/'Data Sheet'!I60</f>
        <v>0.58451933144607748</v>
      </c>
      <c r="K5" s="69">
        <f>('Data Sheet'!J65-'Data Sheet'!J68)/'Data Sheet'!J60</f>
        <v>0.56550862457918305</v>
      </c>
      <c r="L5" s="69">
        <f>('Data Sheet'!K65-'Data Sheet'!K68)/'Data Sheet'!K60</f>
        <v>0.41604281697774464</v>
      </c>
    </row>
    <row r="7" spans="2:12" x14ac:dyDescent="0.3">
      <c r="B7" s="361" t="s">
        <v>190</v>
      </c>
      <c r="C7" s="361"/>
      <c r="D7" s="361"/>
      <c r="E7" s="361"/>
      <c r="F7" s="361"/>
      <c r="G7" s="361"/>
      <c r="H7" s="361"/>
      <c r="I7" s="361"/>
      <c r="J7" s="361"/>
      <c r="K7" s="361"/>
      <c r="L7" s="361"/>
    </row>
    <row r="8" spans="2:12" ht="36.6" customHeight="1" x14ac:dyDescent="0.3">
      <c r="B8" s="68" t="s">
        <v>191</v>
      </c>
      <c r="C8" s="70">
        <f>('Data Sheet'!B17-(SUM('Data Sheet'!B18:B21)))/'Data Sheet'!B17</f>
        <v>0.49810023520897412</v>
      </c>
      <c r="D8" s="70">
        <f>('Data Sheet'!C17-(SUM('Data Sheet'!C18:C21)))/'Data Sheet'!C17</f>
        <v>0.50490926993951324</v>
      </c>
      <c r="E8" s="70">
        <f>('Data Sheet'!D17-(SUM('Data Sheet'!D18:D21)))/'Data Sheet'!D17</f>
        <v>0.51203256168913758</v>
      </c>
      <c r="F8" s="70">
        <f>('Data Sheet'!E17-(SUM('Data Sheet'!E18:E21)))/'Data Sheet'!E17</f>
        <v>0.52215770555262297</v>
      </c>
      <c r="G8" s="70">
        <f>('Data Sheet'!F17-(SUM('Data Sheet'!F18:F21)))/'Data Sheet'!F17</f>
        <v>0.49491792123841116</v>
      </c>
      <c r="H8" s="70">
        <f>('Data Sheet'!G17-(SUM('Data Sheet'!G18:G21)))/'Data Sheet'!G17</f>
        <v>0.49347900697860658</v>
      </c>
      <c r="I8" s="70">
        <f>('Data Sheet'!H17-(SUM('Data Sheet'!H18:H21)))/'Data Sheet'!H17</f>
        <v>0.46059755694948828</v>
      </c>
      <c r="J8" s="70">
        <f>('Data Sheet'!I17-(SUM('Data Sheet'!I18:I21)))/'Data Sheet'!I17</f>
        <v>0.50458834173452238</v>
      </c>
      <c r="K8" s="70">
        <f>('Data Sheet'!J17-(SUM('Data Sheet'!J18:J21)))/'Data Sheet'!J17</f>
        <v>0.49750521784502999</v>
      </c>
      <c r="L8" s="70">
        <f>('Data Sheet'!K17-(SUM('Data Sheet'!K18:K21)))/'Data Sheet'!K17</f>
        <v>0.48320096792206985</v>
      </c>
    </row>
    <row r="9" spans="2:12" ht="41.4" customHeight="1" x14ac:dyDescent="0.3">
      <c r="B9" s="68" t="s">
        <v>192</v>
      </c>
      <c r="C9" s="70">
        <f>('Data Sheet'!B28+'Data Sheet'!B27)/'Data Sheet'!B17</f>
        <v>0.19606778843254327</v>
      </c>
      <c r="D9" s="70">
        <f>('Data Sheet'!C28+'Data Sheet'!C27)/'Data Sheet'!C17</f>
        <v>0.20627373751582501</v>
      </c>
      <c r="E9" s="70">
        <f>('Data Sheet'!D28+'Data Sheet'!D27)/'Data Sheet'!D17</f>
        <v>0.21971508522004579</v>
      </c>
      <c r="F9" s="70">
        <f>('Data Sheet'!E28+'Data Sheet'!E27)/'Data Sheet'!E17</f>
        <v>0.233340874242767</v>
      </c>
      <c r="G9" s="70">
        <f>('Data Sheet'!F28+'Data Sheet'!F27)/'Data Sheet'!F17</f>
        <v>0.22799183465169687</v>
      </c>
      <c r="H9" s="70">
        <f>('Data Sheet'!G28+'Data Sheet'!G27)/'Data Sheet'!G17</f>
        <v>0.22852076421462075</v>
      </c>
      <c r="I9" s="70">
        <f>('Data Sheet'!H28+'Data Sheet'!H27)/'Data Sheet'!H17</f>
        <v>0.22215252558600199</v>
      </c>
      <c r="J9" s="70">
        <f>('Data Sheet'!I28+'Data Sheet'!I27)/'Data Sheet'!I17</f>
        <v>0.23038645469820343</v>
      </c>
      <c r="K9" s="70">
        <f>('Data Sheet'!J28+'Data Sheet'!J27)/'Data Sheet'!J17</f>
        <v>0.24132533263762065</v>
      </c>
      <c r="L9" s="70">
        <f>('Data Sheet'!K28+'Data Sheet'!K27)/'Data Sheet'!K17</f>
        <v>0.28896506794068377</v>
      </c>
    </row>
    <row r="10" spans="2:12" ht="50.4" customHeight="1" x14ac:dyDescent="0.3">
      <c r="B10" s="68" t="s">
        <v>193</v>
      </c>
      <c r="C10" s="70">
        <f>'Data Sheet'!B30/'Data Sheet'!B17</f>
        <v>0.13497376515288584</v>
      </c>
      <c r="D10" s="70">
        <f>'Data Sheet'!C30/'Data Sheet'!C17</f>
        <v>0.14668729779153186</v>
      </c>
      <c r="E10" s="70">
        <f>'Data Sheet'!D30/'Data Sheet'!D17</f>
        <v>0.15400661409310609</v>
      </c>
      <c r="F10" s="70">
        <f>'Data Sheet'!E30/'Data Sheet'!E17</f>
        <v>0.16962018952819044</v>
      </c>
      <c r="G10" s="70">
        <f>'Data Sheet'!F30/'Data Sheet'!F17</f>
        <v>0.17000510334268945</v>
      </c>
      <c r="H10" s="70">
        <f>'Data Sheet'!G30/'Data Sheet'!G17</f>
        <v>0.16929794455249209</v>
      </c>
      <c r="I10" s="70">
        <f>'Data Sheet'!H30/'Data Sheet'!H17</f>
        <v>0.16705183228788378</v>
      </c>
      <c r="J10" s="70">
        <f>'Data Sheet'!I30/'Data Sheet'!I17</f>
        <v>0.16603657748481324</v>
      </c>
      <c r="K10" s="70">
        <f>'Data Sheet'!J30/'Data Sheet'!J17</f>
        <v>0.17364009913905556</v>
      </c>
      <c r="L10" s="70">
        <f>'Data Sheet'!K30/'Data Sheet'!K17</f>
        <v>0.23329403735186449</v>
      </c>
    </row>
    <row r="11" spans="2:12" ht="60" customHeight="1" x14ac:dyDescent="0.3">
      <c r="B11" s="68" t="s">
        <v>194</v>
      </c>
      <c r="C11" s="70">
        <f>'Data Sheet'!B30/'Data Sheet'!B66</f>
        <v>0.28498662931363811</v>
      </c>
      <c r="D11" s="70">
        <f>'Data Sheet'!C30/AVERAGE('Data Sheet'!B61:C61)</f>
        <v>0.31065300285986652</v>
      </c>
      <c r="E11" s="70">
        <f>'Data Sheet'!D30/AVERAGE('Data Sheet'!C61:D61)</f>
        <v>0.33180784302978816</v>
      </c>
      <c r="F11" s="70">
        <f>'Data Sheet'!E30/AVERAGE('Data Sheet'!D61:E61)</f>
        <v>0.34799649321850346</v>
      </c>
      <c r="G11" s="70">
        <f>'Data Sheet'!F30/AVERAGE('Data Sheet'!E61:F61)</f>
        <v>0.17987918058789781</v>
      </c>
      <c r="H11" s="70">
        <f>'Data Sheet'!G30/AVERAGE('Data Sheet'!F61:G61)</f>
        <v>0.12752969564655359</v>
      </c>
      <c r="I11" s="70">
        <f>'Data Sheet'!H30/AVERAGE('Data Sheet'!G61:H61)</f>
        <v>0.14096376311958936</v>
      </c>
      <c r="J11" s="70">
        <f>'Data Sheet'!I30/AVERAGE('Data Sheet'!H61:I61)</f>
        <v>0.1356108889856564</v>
      </c>
      <c r="K11" s="70">
        <f>'Data Sheet'!J30/AVERAGE('Data Sheet'!I61:J61)</f>
        <v>0.13449782762453269</v>
      </c>
      <c r="L11" s="70">
        <f>'Data Sheet'!K30/AVERAGE('Data Sheet'!J61:K61)</f>
        <v>0.1884699970551563</v>
      </c>
    </row>
    <row r="12" spans="2:12" ht="52.95" customHeight="1" x14ac:dyDescent="0.3">
      <c r="B12" s="68" t="s">
        <v>195</v>
      </c>
      <c r="C12" s="70">
        <f>'Data Sheet'!B30/SUM('Data Sheet'!B57:B58)</f>
        <v>0.66370106761565839</v>
      </c>
      <c r="D12" s="70">
        <f>'Data Sheet'!C30/(AVERAGE(SUM('Data Sheet'!C57:C58),SUM('Data Sheet'!B57:B58)))</f>
        <v>0.74352941176470588</v>
      </c>
      <c r="E12" s="70">
        <f>'Data Sheet'!D30/(AVERAGE(SUM('Data Sheet'!D57:D58),SUM('Data Sheet'!C57:C58)))</f>
        <v>0.79931344071824662</v>
      </c>
      <c r="F12" s="70">
        <f>'Data Sheet'!E30/(AVERAGE(SUM('Data Sheet'!E57:E58),SUM('Data Sheet'!D57:D58)))</f>
        <v>0.83846918489065603</v>
      </c>
      <c r="G12" s="70">
        <f>'Data Sheet'!F30/(AVERAGE(SUM('Data Sheet'!F57:F58),SUM('Data Sheet'!E57:E58)))</f>
        <v>0.28603116111836574</v>
      </c>
      <c r="H12" s="70">
        <f>'Data Sheet'!G30/(AVERAGE(SUM('Data Sheet'!G57:G58),SUM('Data Sheet'!F57:F58)))</f>
        <v>0.18357368067400631</v>
      </c>
      <c r="I12" s="70">
        <f>'Data Sheet'!H30/(AVERAGE(SUM('Data Sheet'!H57:H58),SUM('Data Sheet'!G57:G58)))</f>
        <v>0.20369345342927589</v>
      </c>
      <c r="J12" s="70">
        <f>'Data Sheet'!I30/(AVERAGE(SUM('Data Sheet'!I57:I58),SUM('Data Sheet'!H57:H58)))</f>
        <v>0.20245858040621736</v>
      </c>
      <c r="K12" s="70">
        <f>'Data Sheet'!J30/(AVERAGE(SUM('Data Sheet'!J57:J58),SUM('Data Sheet'!I57:I58)))</f>
        <v>0.21166766050486982</v>
      </c>
      <c r="L12" s="70">
        <f>'Data Sheet'!K30/(AVERAGE(SUM('Data Sheet'!K57:K58),SUM('Data Sheet'!J57:J58)))</f>
        <v>0.30649779399027927</v>
      </c>
    </row>
    <row r="13" spans="2:12" ht="57.6" customHeight="1" x14ac:dyDescent="0.3">
      <c r="B13" s="68" t="s">
        <v>196</v>
      </c>
      <c r="C13" s="70">
        <f>SUM('Data Sheet'!B28,'Data Sheet'!B27)/SUM('Data Sheet'!B57:B58)</f>
        <v>0.96411625148279956</v>
      </c>
      <c r="D13" s="70">
        <f>SUM('Data Sheet'!C28,'Data Sheet'!C27)/(AVERAGE(SUM('Data Sheet'!C57:C58),SUM('Data Sheet'!B57:B58)))</f>
        <v>1.0455614973262033</v>
      </c>
      <c r="E13" s="70">
        <f>SUM('Data Sheet'!D28,'Data Sheet'!D27)/(AVERAGE(SUM('Data Sheet'!D57:D58),SUM('Data Sheet'!C57:C58)))</f>
        <v>1.140348560866121</v>
      </c>
      <c r="F13" s="70">
        <f>SUM('Data Sheet'!E28,'Data Sheet'!E27)/(AVERAGE(SUM('Data Sheet'!E57:E58),SUM('Data Sheet'!D57:D58)))</f>
        <v>1.1534542743538767</v>
      </c>
      <c r="G13" s="70">
        <f>SUM('Data Sheet'!F28,'Data Sheet'!F27)/(AVERAGE(SUM('Data Sheet'!F57:F58),SUM('Data Sheet'!E57:E58)))</f>
        <v>0.38359300931971452</v>
      </c>
      <c r="H13" s="70">
        <f>SUM('Data Sheet'!G28,'Data Sheet'!G27)/(AVERAGE(SUM('Data Sheet'!G57:G58),SUM('Data Sheet'!F57:F58)))</f>
        <v>0.247790355093813</v>
      </c>
      <c r="I13" s="70">
        <f>SUM('Data Sheet'!H28,'Data Sheet'!H27)/(AVERAGE(SUM('Data Sheet'!H57:H58),SUM('Data Sheet'!G57:G58)))</f>
        <v>0.27088008856237106</v>
      </c>
      <c r="J13" s="70">
        <f>SUM('Data Sheet'!I28,'Data Sheet'!I27)/(AVERAGE(SUM('Data Sheet'!I57:I58),SUM('Data Sheet'!H57:H58)))</f>
        <v>0.28092433167195285</v>
      </c>
      <c r="K13" s="70">
        <f>SUM('Data Sheet'!J28,'Data Sheet'!J27)/(AVERAGE(SUM('Data Sheet'!J57:J58),SUM('Data Sheet'!I57:I58)))</f>
        <v>0.29417610812959649</v>
      </c>
      <c r="L13" s="70">
        <f>SUM('Data Sheet'!K28,'Data Sheet'!K27)/(AVERAGE(SUM('Data Sheet'!K57:K58),SUM('Data Sheet'!J57:J58)))</f>
        <v>0.3796374603886245</v>
      </c>
    </row>
    <row r="15" spans="2:12" x14ac:dyDescent="0.3">
      <c r="B15" s="361" t="s">
        <v>197</v>
      </c>
      <c r="C15" s="361"/>
      <c r="D15" s="361"/>
      <c r="E15" s="361"/>
      <c r="F15" s="361"/>
      <c r="G15" s="361"/>
      <c r="H15" s="361"/>
      <c r="I15" s="361"/>
      <c r="J15" s="361"/>
      <c r="K15" s="361"/>
      <c r="L15" s="361"/>
    </row>
    <row r="16" spans="2:12" ht="39" customHeight="1" x14ac:dyDescent="0.3">
      <c r="B16" s="68" t="s">
        <v>210</v>
      </c>
      <c r="C16" s="69">
        <f>(SUM('Data Sheet'!B18:B21)/'Data Sheet'!B68)</f>
        <v>6.550177095631641</v>
      </c>
      <c r="D16" s="69">
        <f>(SUM('Data Sheet'!C18:C21))/AVERAGE('Data Sheet'!B68:C68)</f>
        <v>6.9639889196675897</v>
      </c>
      <c r="E16" s="69">
        <f>(SUM('Data Sheet'!D18:D21))/AVERAGE('Data Sheet'!C68:D68)</f>
        <v>7.5415765677216431</v>
      </c>
      <c r="F16" s="69">
        <f>(SUM('Data Sheet'!E18:E21))/AVERAGE('Data Sheet'!D68:E68)</f>
        <v>7.1185171316232916</v>
      </c>
      <c r="G16" s="69">
        <f>(SUM('Data Sheet'!F18:F21))/AVERAGE('Data Sheet'!E68:F68)</f>
        <v>7.4859754175858813</v>
      </c>
      <c r="H16" s="69">
        <f>(SUM('Data Sheet'!G18:G21))/AVERAGE('Data Sheet'!F68:G68)</f>
        <v>6.9224755700325735</v>
      </c>
      <c r="I16" s="69">
        <f>(SUM('Data Sheet'!H18:H21))/AVERAGE('Data Sheet'!G68:H68)</f>
        <v>7.8296393913981071</v>
      </c>
      <c r="J16" s="69">
        <f>(SUM('Data Sheet'!I18:I21))/AVERAGE('Data Sheet'!H68:I68)</f>
        <v>7.4130303396591319</v>
      </c>
      <c r="K16" s="69">
        <f>(SUM('Data Sheet'!J18:J21))/AVERAGE('Data Sheet'!I68:J68)</f>
        <v>7.3052032713049666</v>
      </c>
      <c r="L16" s="69">
        <f>(SUM('Data Sheet'!K18:K21))/AVERAGE('Data Sheet'!J68:K68)</f>
        <v>7.2396784006953503</v>
      </c>
    </row>
    <row r="17" spans="2:12" ht="32.4" customHeight="1" x14ac:dyDescent="0.3">
      <c r="B17" s="68" t="s">
        <v>198</v>
      </c>
      <c r="C17" s="69">
        <f>'Data Sheet'!B17/'Data Sheet'!B67</f>
        <v>30.56405529953917</v>
      </c>
      <c r="D17" s="69">
        <f>'Data Sheet'!C17/AVERAGE('Data Sheet'!B67:C67)</f>
        <v>29.682672233820458</v>
      </c>
      <c r="E17" s="69">
        <f>'Data Sheet'!D17/AVERAGE('Data Sheet'!C67:D67)</f>
        <v>25.150351887396035</v>
      </c>
      <c r="F17" s="69">
        <f>'Data Sheet'!E17/AVERAGE('Data Sheet'!D67:E67)</f>
        <v>26.835075885328838</v>
      </c>
      <c r="G17" s="69">
        <f>'Data Sheet'!F17/AVERAGE('Data Sheet'!E67:F67)</f>
        <v>32.355005159958722</v>
      </c>
      <c r="H17" s="69">
        <f>'Data Sheet'!G17/AVERAGE('Data Sheet'!F67:G67)</f>
        <v>26.262393590385578</v>
      </c>
      <c r="I17" s="69">
        <f>'Data Sheet'!H17/AVERAGE('Data Sheet'!G67:H67)</f>
        <v>22.795860771401692</v>
      </c>
      <c r="J17" s="69">
        <f>'Data Sheet'!I17/AVERAGE('Data Sheet'!H67:I67)</f>
        <v>20.373930217248191</v>
      </c>
      <c r="K17" s="69">
        <f>'Data Sheet'!J17/AVERAGE('Data Sheet'!I67:J67)</f>
        <v>17.995305164319248</v>
      </c>
      <c r="L17" s="69">
        <f>'Data Sheet'!K17/AVERAGE('Data Sheet'!J67:K67)</f>
        <v>17.912753542650737</v>
      </c>
    </row>
    <row r="18" spans="2:12" ht="33" customHeight="1" x14ac:dyDescent="0.3">
      <c r="B18" s="68" t="s">
        <v>199</v>
      </c>
      <c r="C18" s="69">
        <v>2.1114223863491661</v>
      </c>
      <c r="D18" s="69">
        <v>1.989978725786586</v>
      </c>
      <c r="E18" s="69">
        <v>2.1101508400880347</v>
      </c>
      <c r="F18" s="69">
        <v>1.974048528755024</v>
      </c>
      <c r="G18" s="69">
        <v>0.68414314809426824</v>
      </c>
      <c r="H18" s="69">
        <v>0.74385158709897026</v>
      </c>
      <c r="I18" s="69">
        <v>0.82898860106463046</v>
      </c>
      <c r="J18" s="69">
        <v>0.78859458013224781</v>
      </c>
      <c r="K18" s="69">
        <v>0.76791505453088416</v>
      </c>
      <c r="L18" s="69">
        <v>0.80849783039454215</v>
      </c>
    </row>
    <row r="19" spans="2:12" ht="36" customHeight="1" x14ac:dyDescent="0.3">
      <c r="B19" s="68" t="s">
        <v>200</v>
      </c>
      <c r="C19" s="69">
        <f>'Data Sheet'!B17/('Data Sheet'!B65-'Data Sheet'!B60)</f>
        <v>-23.337086558761435</v>
      </c>
      <c r="D19" s="69">
        <f>'Data Sheet'!C17/(AVERAGE(('Data Sheet'!C65-'Data Sheet'!C60),('Data Sheet'!B65-'Data Sheet'!B60)))</f>
        <v>-35.509490509490512</v>
      </c>
      <c r="E19" s="69">
        <f>'Data Sheet'!D17/(AVERAGE(('Data Sheet'!D65-'Data Sheet'!D60),('Data Sheet'!C65-'Data Sheet'!C60)))</f>
        <v>-173.93805309734512</v>
      </c>
      <c r="F19" s="69">
        <f>'Data Sheet'!E17/(AVERAGE(('Data Sheet'!E65-'Data Sheet'!E60),('Data Sheet'!D65-'Data Sheet'!D60)))</f>
        <v>77.474196689386559</v>
      </c>
      <c r="G19" s="69">
        <f>'Data Sheet'!F17/(AVERAGE(('Data Sheet'!F65-'Data Sheet'!F60),('Data Sheet'!E65-'Data Sheet'!E60)))</f>
        <v>-14.870513833992096</v>
      </c>
      <c r="H19" s="69">
        <f>'Data Sheet'!G17/(AVERAGE(('Data Sheet'!G65-'Data Sheet'!G60),('Data Sheet'!F65-'Data Sheet'!F60)))</f>
        <v>-7.8126024132280651</v>
      </c>
      <c r="I19" s="69">
        <f>'Data Sheet'!H17/(AVERAGE(('Data Sheet'!H65-'Data Sheet'!H60),('Data Sheet'!G65-'Data Sheet'!G60)))</f>
        <v>-10.654238480478368</v>
      </c>
      <c r="J19" s="69">
        <f>'Data Sheet'!I17/(AVERAGE(('Data Sheet'!I65-'Data Sheet'!I60),('Data Sheet'!H65-'Data Sheet'!H60)))</f>
        <v>-10.43689402242644</v>
      </c>
      <c r="K19" s="69">
        <f>'Data Sheet'!J17/(AVERAGE(('Data Sheet'!J65-'Data Sheet'!J60),('Data Sheet'!I65-'Data Sheet'!I60)))</f>
        <v>-8.2898080562314131</v>
      </c>
      <c r="L19" s="69">
        <f>'Data Sheet'!K17/(AVERAGE(('Data Sheet'!K65-'Data Sheet'!K60),('Data Sheet'!J65-'Data Sheet'!J60)))</f>
        <v>-6.2730368784664785</v>
      </c>
    </row>
    <row r="21" spans="2:12" x14ac:dyDescent="0.3">
      <c r="B21" s="361" t="s">
        <v>201</v>
      </c>
      <c r="C21" s="361"/>
      <c r="D21" s="361"/>
      <c r="E21" s="361"/>
      <c r="F21" s="361"/>
      <c r="G21" s="361"/>
      <c r="H21" s="361"/>
      <c r="I21" s="361"/>
      <c r="J21" s="361"/>
      <c r="K21" s="361"/>
      <c r="L21" s="361"/>
    </row>
    <row r="22" spans="2:12" ht="57" customHeight="1" x14ac:dyDescent="0.3">
      <c r="B22" s="68" t="s">
        <v>202</v>
      </c>
      <c r="C22" s="69">
        <f>'Data Sheet'!B59/SUM('Data Sheet'!B57:B58)</f>
        <v>4.1073546856465006E-2</v>
      </c>
      <c r="D22" s="69">
        <f>'Data Sheet'!C59/(AVERAGE(('Data Sheet'!C57:C58),('Data Sheet'!B57:B58)))</f>
        <v>0</v>
      </c>
      <c r="E22" s="69">
        <f>'Data Sheet'!D59/(AVERAGE(('Data Sheet'!D57:D58),('Data Sheet'!C57:C58)))</f>
        <v>2.6142064959070503E-2</v>
      </c>
      <c r="F22" s="69">
        <f>'Data Sheet'!E59/(AVERAGE(('Data Sheet'!E57:E58),('Data Sheet'!D57:D58)))</f>
        <v>0</v>
      </c>
      <c r="G22" s="69">
        <f>'Data Sheet'!F59/(AVERAGE(('Data Sheet'!F57:F58),('Data Sheet'!E57:E58)))</f>
        <v>0</v>
      </c>
      <c r="H22" s="69">
        <f>'Data Sheet'!G59/(AVERAGE(('Data Sheet'!G57:G58),('Data Sheet'!F57:F58)))</f>
        <v>4.3128133560758772E-2</v>
      </c>
      <c r="I22" s="69">
        <f>'Data Sheet'!H59/(AVERAGE(('Data Sheet'!H57:H58),('Data Sheet'!G57:G58)))</f>
        <v>4.9071604689780106E-2</v>
      </c>
      <c r="J22" s="69">
        <f>'Data Sheet'!I59/(AVERAGE(('Data Sheet'!I57:I58),('Data Sheet'!H57:H58)))</f>
        <v>5.8470085301708004E-2</v>
      </c>
      <c r="K22" s="69">
        <f>'Data Sheet'!J59/(AVERAGE(('Data Sheet'!J57:J58),('Data Sheet'!I57:I58)))</f>
        <v>6.5513814351023658E-2</v>
      </c>
      <c r="L22" s="69">
        <f>'Data Sheet'!K59/(AVERAGE(('Data Sheet'!K57:K58),('Data Sheet'!J57:J58)))</f>
        <v>6.0239858978408618E-2</v>
      </c>
    </row>
    <row r="23" spans="2:12" ht="64.95" customHeight="1" x14ac:dyDescent="0.3">
      <c r="B23" s="68" t="s">
        <v>203</v>
      </c>
      <c r="C23" s="69">
        <f>SUM('Data Sheet'!B28,'Data Sheet'!B27)/'Data Sheet'!B27</f>
        <v>185.77142857142857</v>
      </c>
      <c r="D23" s="69">
        <f>SUM('Data Sheet'!C28,'Data Sheet'!C27)/'Data Sheet'!C27</f>
        <v>282</v>
      </c>
      <c r="E23" s="69">
        <f>SUM('Data Sheet'!D28,'Data Sheet'!D27)/'Data Sheet'!D27</f>
        <v>261.72727272727275</v>
      </c>
      <c r="F23" s="69">
        <f>SUM('Data Sheet'!E28,'Data Sheet'!E27)/'Data Sheet'!E27</f>
        <v>78.669491525423723</v>
      </c>
      <c r="G23" s="69">
        <f>SUM('Data Sheet'!F28,'Data Sheet'!F27)/'Data Sheet'!F27</f>
        <v>91.641025641025635</v>
      </c>
      <c r="H23" s="69">
        <f>SUM('Data Sheet'!G28,'Data Sheet'!G27)/'Data Sheet'!G27</f>
        <v>113.06603773584905</v>
      </c>
      <c r="I23" s="69">
        <f>SUM('Data Sheet'!H28,'Data Sheet'!H27)/'Data Sheet'!H27</f>
        <v>118.05263157894737</v>
      </c>
      <c r="J23" s="69">
        <f>SUM('Data Sheet'!I28,'Data Sheet'!I27)/'Data Sheet'!I27</f>
        <v>42.694610778443113</v>
      </c>
      <c r="K23" s="69">
        <f>SUM('Data Sheet'!J28,'Data Sheet'!J27)/'Data Sheet'!J27</f>
        <v>38.84514435695538</v>
      </c>
      <c r="L23" s="69">
        <f>SUM('Data Sheet'!K28,'Data Sheet'!K27)/'Data Sheet'!K27</f>
        <v>45.436585365853659</v>
      </c>
    </row>
    <row r="24" spans="2:12" ht="44.4" customHeight="1" x14ac:dyDescent="0.3">
      <c r="B24" s="68" t="s">
        <v>204</v>
      </c>
      <c r="C24" s="69">
        <f>SUM('Data Sheet'!B28,'Data Sheet'!B27)/SUM('Data Sheet'!B27,ABS('Cash Flow Data'!C31))</f>
        <v>171.10526315789474</v>
      </c>
      <c r="D24" s="69">
        <f>SUM('Data Sheet'!C28,'Data Sheet'!C27)/SUM('Data Sheet'!C27,ABS('Cash Flow Data'!D31))</f>
        <v>282</v>
      </c>
      <c r="E24" s="69">
        <f>SUM('Data Sheet'!D28,'Data Sheet'!D27)/SUM('Data Sheet'!D27,ABS('Cash Flow Data'!E31))</f>
        <v>21.977099236641223</v>
      </c>
      <c r="F24" s="69">
        <f>SUM('Data Sheet'!E28,'Data Sheet'!E27)/SUM('Data Sheet'!E27,ABS('Cash Flow Data'!F31))</f>
        <v>23.501265822784809</v>
      </c>
      <c r="G24" s="69">
        <f>SUM('Data Sheet'!F28,'Data Sheet'!F27)/SUM('Data Sheet'!F27,ABS('Cash Flow Data'!G31))</f>
        <v>91.641025641025635</v>
      </c>
      <c r="H24" s="69">
        <f>SUM('Data Sheet'!G28,'Data Sheet'!G27)/SUM('Data Sheet'!G27,ABS('Cash Flow Data'!H31))</f>
        <v>58.463414634146339</v>
      </c>
      <c r="I24" s="69">
        <f>SUM('Data Sheet'!H28,'Data Sheet'!H27)/SUM('Data Sheet'!H27,ABS('Cash Flow Data'!I31))</f>
        <v>44.562913907284766</v>
      </c>
      <c r="J24" s="69">
        <f>SUM('Data Sheet'!I28,'Data Sheet'!I27)/SUM('Data Sheet'!I27,ABS('Cash Flow Data'!J31))</f>
        <v>36.658097686375321</v>
      </c>
      <c r="K24" s="69">
        <f>SUM('Data Sheet'!J28,'Data Sheet'!J27)/SUM('Data Sheet'!J27,ABS('Cash Flow Data'!K31))</f>
        <v>25.127334465195247</v>
      </c>
      <c r="L24" s="69">
        <f>SUM('Data Sheet'!K28,'Data Sheet'!K27)/SUM('Data Sheet'!K27,ABS('Cash Flow Data'!L31))</f>
        <v>37.634343434343435</v>
      </c>
    </row>
    <row r="26" spans="2:12" x14ac:dyDescent="0.3">
      <c r="B26" s="361" t="s">
        <v>205</v>
      </c>
      <c r="C26" s="361"/>
      <c r="D26" s="361"/>
      <c r="E26" s="361"/>
      <c r="F26" s="361"/>
      <c r="G26" s="361"/>
      <c r="H26" s="361"/>
      <c r="I26" s="361"/>
      <c r="J26" s="361"/>
      <c r="K26" s="361"/>
      <c r="L26" s="361"/>
    </row>
    <row r="27" spans="2:12" ht="52.2" customHeight="1" x14ac:dyDescent="0.3">
      <c r="B27" s="68" t="s">
        <v>206</v>
      </c>
      <c r="C27" s="71">
        <f>'Data Sheet'!B30/'Data Sheet'!B93</f>
        <v>20.681051610220393</v>
      </c>
      <c r="D27" s="71">
        <f>'Data Sheet'!C30/'Data Sheet'!C93</f>
        <v>24.088704088704091</v>
      </c>
      <c r="E27" s="71">
        <f>'Data Sheet'!D30/'Data Sheet'!D93</f>
        <v>27.966923823162563</v>
      </c>
      <c r="F27" s="71">
        <f>'Data Sheet'!E30/'Data Sheet'!E93</f>
        <v>31.171470805617147</v>
      </c>
      <c r="G27" s="71">
        <f>'Data Sheet'!F30/'Data Sheet'!F93</f>
        <v>34.027068437180795</v>
      </c>
      <c r="H27" s="71">
        <f>'Data Sheet'!G30/'Data Sheet'!G93</f>
        <v>37.789410963568265</v>
      </c>
      <c r="I27" s="71">
        <f>'Data Sheet'!H30/'Data Sheet'!H93</f>
        <v>43.071161048689135</v>
      </c>
      <c r="J27" s="71">
        <f>'Data Sheet'!I30/'Data Sheet'!I93</f>
        <v>43.739359891045282</v>
      </c>
      <c r="K27" s="71">
        <f>'Data Sheet'!J30/'Data Sheet'!J93</f>
        <v>45.32260810350698</v>
      </c>
      <c r="L27" s="71">
        <f>'Data Sheet'!K30/'Data Sheet'!K93</f>
        <v>64.010895471569626</v>
      </c>
    </row>
    <row r="28" spans="2:12" ht="34.950000000000003" customHeight="1" x14ac:dyDescent="0.3">
      <c r="B28" s="68" t="s">
        <v>207</v>
      </c>
      <c r="C28" s="69">
        <f>'Data Sheet'!B90/('Data Sheet'!B30/'Data Sheet'!B93)</f>
        <v>42.193695777479896</v>
      </c>
      <c r="D28" s="69">
        <f>'Data Sheet'!C90/('Data Sheet'!C30/'Data Sheet'!C93)</f>
        <v>52.975452531645558</v>
      </c>
      <c r="E28" s="69">
        <f>'Data Sheet'!D90/('Data Sheet'!D30/'Data Sheet'!D93)</f>
        <v>58.409355649157582</v>
      </c>
      <c r="F28" s="69">
        <f>'Data Sheet'!E90/('Data Sheet'!E30/'Data Sheet'!E93)</f>
        <v>70.571902548903381</v>
      </c>
      <c r="G28" s="69">
        <f>'Data Sheet'!F90/('Data Sheet'!F30/'Data Sheet'!F93)</f>
        <v>68.390258311444654</v>
      </c>
      <c r="H28" s="69">
        <f>'Data Sheet'!G90/('Data Sheet'!G30/'Data Sheet'!G93)</f>
        <v>51.88490505687578</v>
      </c>
      <c r="I28" s="69">
        <f>'Data Sheet'!H90/('Data Sheet'!H30/'Data Sheet'!H93)</f>
        <v>56.892824347826092</v>
      </c>
      <c r="J28" s="69">
        <f>'Data Sheet'!I90/('Data Sheet'!I30/'Data Sheet'!I93)</f>
        <v>49.546678447017612</v>
      </c>
      <c r="K28" s="69">
        <f>'Data Sheet'!J90/('Data Sheet'!J30/'Data Sheet'!J93)</f>
        <v>47.699814517795097</v>
      </c>
      <c r="L28" s="69">
        <f>'Data Sheet'!K90/('Data Sheet'!K30/'Data Sheet'!K93)</f>
        <v>32.107034042553188</v>
      </c>
    </row>
    <row r="29" spans="2:12" ht="36" customHeight="1" x14ac:dyDescent="0.3">
      <c r="B29" s="68" t="s">
        <v>208</v>
      </c>
      <c r="C29" s="70">
        <f>'Data Sheet'!B31/'Data Sheet'!B30</f>
        <v>0.82037533512064342</v>
      </c>
      <c r="D29" s="70">
        <f>'Data Sheet'!C31/'Data Sheet'!C30</f>
        <v>0.8285385500575374</v>
      </c>
      <c r="E29" s="70">
        <f>'Data Sheet'!D31/'Data Sheet'!D30</f>
        <v>0.78493557978196238</v>
      </c>
      <c r="F29" s="70">
        <f>'Data Sheet'!E31/'Data Sheet'!E30</f>
        <v>0.80023710729104924</v>
      </c>
      <c r="G29" s="70">
        <f>'Data Sheet'!F31/'Data Sheet'!F30</f>
        <v>1.1904315196998123</v>
      </c>
      <c r="H29" s="70">
        <f>'Data Sheet'!G31/'Data Sheet'!G30</f>
        <v>0.89987611217479446</v>
      </c>
      <c r="I29" s="70">
        <f>'Data Sheet'!H31/'Data Sheet'!H30</f>
        <v>0.90563241106719372</v>
      </c>
      <c r="J29" s="70">
        <f>'Data Sheet'!I31/'Data Sheet'!I30</f>
        <v>0.96039700301644448</v>
      </c>
      <c r="K29" s="70">
        <f>'Data Sheet'!J31/'Data Sheet'!J30</f>
        <v>1.1695933890506152</v>
      </c>
      <c r="L29" s="70">
        <f>'Data Sheet'!K31/'Data Sheet'!K30</f>
        <v>0.640625</v>
      </c>
    </row>
    <row r="30" spans="2:12" ht="54.6" customHeight="1" x14ac:dyDescent="0.3">
      <c r="B30" s="68" t="s">
        <v>209</v>
      </c>
      <c r="C30" s="71">
        <f>SUM('Data Sheet'!B57:B58)/'Data Sheet'!B93</f>
        <v>31.16019036177979</v>
      </c>
      <c r="D30" s="71">
        <f>SUM('Data Sheet'!C57:C58)/'Data Sheet'!C93</f>
        <v>33.638253638253637</v>
      </c>
      <c r="E30" s="71">
        <f>SUM('Data Sheet'!D57:D58)/'Data Sheet'!D93</f>
        <v>36.34221832124544</v>
      </c>
      <c r="F30" s="71">
        <f>SUM('Data Sheet'!E57:E58)/'Data Sheet'!E93</f>
        <v>38.012749445676278</v>
      </c>
      <c r="G30" s="71">
        <f>SUM('Data Sheet'!F57:F58)/'Data Sheet'!F93</f>
        <v>202.90262172284645</v>
      </c>
      <c r="H30" s="71">
        <f>SUM('Data Sheet'!G57:G58)/'Data Sheet'!G93</f>
        <v>208.80575417092271</v>
      </c>
      <c r="I30" s="71">
        <f>SUM('Data Sheet'!H57:H58)/'Data Sheet'!H93</f>
        <v>214.09601634320734</v>
      </c>
      <c r="J30" s="71">
        <f>SUM('Data Sheet'!I57:I58)/'Data Sheet'!I93</f>
        <v>217.98604017705139</v>
      </c>
      <c r="K30" s="71">
        <f>SUM('Data Sheet'!J57:J58)/'Data Sheet'!J93</f>
        <v>210.25706503234593</v>
      </c>
      <c r="L30" s="71">
        <f>SUM('Data Sheet'!K57:K58)/'Data Sheet'!K93</f>
        <v>207.43530813755532</v>
      </c>
    </row>
    <row r="33" spans="3:3" x14ac:dyDescent="0.3">
      <c r="C33" t="s">
        <v>81</v>
      </c>
    </row>
  </sheetData>
  <mergeCells count="5">
    <mergeCell ref="B3:L3"/>
    <mergeCell ref="B7:L7"/>
    <mergeCell ref="B15:L15"/>
    <mergeCell ref="B21:L21"/>
    <mergeCell ref="B26:L26"/>
  </mergeCells>
  <pageMargins left="0.7" right="0.7" top="0.75" bottom="0.75" header="0.3" footer="0.3"/>
  <ignoredErrors>
    <ignoredError sqref="D11:L11 C12:L12 C13:L13 C16:L16 D17:L17 D22:L22 C30:L30"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51B4E-36E0-434C-94EC-2E9913491328}">
  <sheetPr>
    <tabColor rgb="FF1B2A63"/>
  </sheetPr>
  <dimension ref="B2:G40"/>
  <sheetViews>
    <sheetView showGridLines="0" workbookViewId="0">
      <selection activeCell="I36" sqref="I36"/>
    </sheetView>
  </sheetViews>
  <sheetFormatPr defaultRowHeight="14.4" x14ac:dyDescent="0.3"/>
  <cols>
    <col min="1" max="1" width="3.109375" customWidth="1"/>
    <col min="2" max="2" width="23.5546875" bestFit="1" customWidth="1"/>
  </cols>
  <sheetData>
    <row r="2" spans="2:7" x14ac:dyDescent="0.3">
      <c r="B2" s="362" t="s">
        <v>590</v>
      </c>
      <c r="C2" s="362"/>
      <c r="D2" s="362"/>
      <c r="E2" s="362"/>
      <c r="F2" s="362"/>
      <c r="G2" s="362"/>
    </row>
    <row r="3" spans="2:7" x14ac:dyDescent="0.3">
      <c r="C3" s="22">
        <v>44651</v>
      </c>
      <c r="D3" s="22">
        <v>45016</v>
      </c>
      <c r="E3" s="22">
        <v>45382</v>
      </c>
      <c r="F3" s="22">
        <v>45747</v>
      </c>
      <c r="G3" s="22">
        <v>46112</v>
      </c>
    </row>
    <row r="4" spans="2:7" x14ac:dyDescent="0.3">
      <c r="B4" t="s">
        <v>589</v>
      </c>
      <c r="C4">
        <f>'Data Sheet'!G30</f>
        <v>8879</v>
      </c>
      <c r="D4">
        <f>'Data Sheet'!H30</f>
        <v>10120</v>
      </c>
      <c r="E4">
        <f>'Data Sheet'!I30</f>
        <v>10277</v>
      </c>
      <c r="F4">
        <f>'Data Sheet'!J30</f>
        <v>10649</v>
      </c>
      <c r="G4">
        <f>'Data Sheet'!K30</f>
        <v>15040</v>
      </c>
    </row>
    <row r="5" spans="2:7" x14ac:dyDescent="0.3">
      <c r="B5" t="s">
        <v>591</v>
      </c>
      <c r="C5">
        <f>AVERAGE(SUM('Data Sheet'!F57:F58),SUM('Data Sheet'!G57:G58))</f>
        <v>48367.5</v>
      </c>
      <c r="D5">
        <f>AVERAGE(SUM('Data Sheet'!G57:G58),SUM('Data Sheet'!H57:H58))</f>
        <v>49682.5</v>
      </c>
      <c r="E5">
        <f>AVERAGE(SUM('Data Sheet'!H57:H58),SUM('Data Sheet'!I57:I58))</f>
        <v>50761</v>
      </c>
      <c r="F5">
        <f>AVERAGE(SUM('Data Sheet'!I57:I58),SUM('Data Sheet'!J57:J58))</f>
        <v>50310</v>
      </c>
      <c r="G5">
        <f>AVERAGE(SUM('Data Sheet'!J57:J58),SUM('Data Sheet'!K57:K58))</f>
        <v>49070.5</v>
      </c>
    </row>
    <row r="6" spans="2:7" x14ac:dyDescent="0.3">
      <c r="B6" s="241" t="s">
        <v>50</v>
      </c>
      <c r="C6" s="242">
        <f t="shared" ref="C6:G6" si="0">C4/C5</f>
        <v>0.18357368067400631</v>
      </c>
      <c r="D6" s="242">
        <f t="shared" si="0"/>
        <v>0.20369345342927589</v>
      </c>
      <c r="E6" s="242">
        <f t="shared" si="0"/>
        <v>0.20245858040621736</v>
      </c>
      <c r="F6" s="242">
        <f t="shared" si="0"/>
        <v>0.21166766050486982</v>
      </c>
      <c r="G6" s="242">
        <f t="shared" si="0"/>
        <v>0.30649779399027927</v>
      </c>
    </row>
    <row r="8" spans="2:7" x14ac:dyDescent="0.3">
      <c r="B8" s="362" t="s">
        <v>592</v>
      </c>
      <c r="C8" s="362"/>
      <c r="D8" s="362"/>
      <c r="E8" s="362"/>
      <c r="F8" s="362"/>
      <c r="G8" s="362"/>
    </row>
    <row r="9" spans="2:7" x14ac:dyDescent="0.3">
      <c r="C9" s="22">
        <f t="shared" ref="C9:G10" si="1">C3</f>
        <v>44651</v>
      </c>
      <c r="D9" s="22">
        <f t="shared" si="1"/>
        <v>45016</v>
      </c>
      <c r="E9" s="22">
        <f t="shared" si="1"/>
        <v>45382</v>
      </c>
      <c r="F9" s="22">
        <f t="shared" si="1"/>
        <v>45747</v>
      </c>
      <c r="G9" s="22">
        <f t="shared" si="1"/>
        <v>46112</v>
      </c>
    </row>
    <row r="10" spans="2:7" x14ac:dyDescent="0.3">
      <c r="B10" t="s">
        <v>589</v>
      </c>
      <c r="C10">
        <f t="shared" si="1"/>
        <v>8879</v>
      </c>
      <c r="D10">
        <f t="shared" si="1"/>
        <v>10120</v>
      </c>
      <c r="E10">
        <f t="shared" si="1"/>
        <v>10277</v>
      </c>
      <c r="F10">
        <f t="shared" si="1"/>
        <v>10649</v>
      </c>
      <c r="G10">
        <f t="shared" si="1"/>
        <v>15040</v>
      </c>
    </row>
    <row r="11" spans="2:7" x14ac:dyDescent="0.3">
      <c r="B11" t="s">
        <v>89</v>
      </c>
      <c r="C11">
        <v>52446</v>
      </c>
      <c r="D11">
        <v>60580</v>
      </c>
      <c r="E11">
        <v>61896</v>
      </c>
      <c r="F11">
        <v>61328</v>
      </c>
      <c r="G11">
        <v>64468</v>
      </c>
    </row>
    <row r="12" spans="2:7" x14ac:dyDescent="0.3">
      <c r="B12" s="241" t="s">
        <v>593</v>
      </c>
      <c r="C12" s="242">
        <f t="shared" ref="C12:G12" si="2">C10/C11</f>
        <v>0.16929794455249209</v>
      </c>
      <c r="D12" s="242">
        <f t="shared" si="2"/>
        <v>0.16705183228788378</v>
      </c>
      <c r="E12" s="242">
        <f t="shared" si="2"/>
        <v>0.16603657748481324</v>
      </c>
      <c r="F12" s="242">
        <f t="shared" si="2"/>
        <v>0.17364009913905556</v>
      </c>
      <c r="G12" s="242">
        <f t="shared" si="2"/>
        <v>0.23329403735186449</v>
      </c>
    </row>
    <row r="14" spans="2:7" x14ac:dyDescent="0.3">
      <c r="B14" t="s">
        <v>89</v>
      </c>
      <c r="C14">
        <f t="shared" ref="C14:G14" si="3">C11</f>
        <v>52446</v>
      </c>
      <c r="D14">
        <f t="shared" si="3"/>
        <v>60580</v>
      </c>
      <c r="E14">
        <f t="shared" si="3"/>
        <v>61896</v>
      </c>
      <c r="F14">
        <f t="shared" si="3"/>
        <v>61328</v>
      </c>
      <c r="G14">
        <f t="shared" si="3"/>
        <v>64468</v>
      </c>
    </row>
    <row r="15" spans="2:7" x14ac:dyDescent="0.3">
      <c r="B15" t="s">
        <v>594</v>
      </c>
      <c r="C15">
        <f>AVERAGE('Data Sheet'!F66:G66)</f>
        <v>69623</v>
      </c>
      <c r="D15">
        <f>AVERAGE('Data Sheet'!G66:H66)</f>
        <v>71791.5</v>
      </c>
      <c r="E15">
        <f>AVERAGE('Data Sheet'!H66:I66)</f>
        <v>75783</v>
      </c>
      <c r="F15">
        <f>AVERAGE('Data Sheet'!I66:J66)</f>
        <v>79176</v>
      </c>
      <c r="G15">
        <f>AVERAGE('Data Sheet'!J66:K66)</f>
        <v>79800.5</v>
      </c>
    </row>
    <row r="16" spans="2:7" x14ac:dyDescent="0.3">
      <c r="B16" s="241" t="s">
        <v>595</v>
      </c>
      <c r="C16" s="243">
        <f t="shared" ref="C16:E16" si="4">C14/C15</f>
        <v>0.75328555218821369</v>
      </c>
      <c r="D16" s="243">
        <f t="shared" si="4"/>
        <v>0.84383248713287784</v>
      </c>
      <c r="E16" s="243">
        <f t="shared" si="4"/>
        <v>0.81675309766042514</v>
      </c>
      <c r="F16" s="243">
        <f>F14/F15</f>
        <v>0.77457815499646354</v>
      </c>
      <c r="G16" s="243">
        <f>G14/G15</f>
        <v>0.80786461237711538</v>
      </c>
    </row>
    <row r="18" spans="2:7" x14ac:dyDescent="0.3">
      <c r="B18" t="s">
        <v>594</v>
      </c>
      <c r="C18">
        <f t="shared" ref="C18:G18" si="5">C15</f>
        <v>69623</v>
      </c>
      <c r="D18">
        <f t="shared" si="5"/>
        <v>71791.5</v>
      </c>
      <c r="E18">
        <f t="shared" si="5"/>
        <v>75783</v>
      </c>
      <c r="F18">
        <f t="shared" si="5"/>
        <v>79176</v>
      </c>
      <c r="G18">
        <f t="shared" si="5"/>
        <v>79800.5</v>
      </c>
    </row>
    <row r="19" spans="2:7" x14ac:dyDescent="0.3">
      <c r="B19" t="s">
        <v>591</v>
      </c>
      <c r="C19">
        <f t="shared" ref="C19:G19" si="6">C5</f>
        <v>48367.5</v>
      </c>
      <c r="D19">
        <f t="shared" si="6"/>
        <v>49682.5</v>
      </c>
      <c r="E19">
        <f t="shared" si="6"/>
        <v>50761</v>
      </c>
      <c r="F19">
        <f t="shared" si="6"/>
        <v>50310</v>
      </c>
      <c r="G19">
        <f t="shared" si="6"/>
        <v>49070.5</v>
      </c>
    </row>
    <row r="20" spans="2:7" x14ac:dyDescent="0.3">
      <c r="B20" s="241" t="s">
        <v>596</v>
      </c>
      <c r="C20" s="243">
        <f t="shared" ref="C20:G20" si="7">C18/C19</f>
        <v>1.4394583139504833</v>
      </c>
      <c r="D20" s="243">
        <f t="shared" si="7"/>
        <v>1.4450057867458361</v>
      </c>
      <c r="E20" s="243">
        <f t="shared" si="7"/>
        <v>1.4929374913811784</v>
      </c>
      <c r="F20" s="243">
        <f t="shared" si="7"/>
        <v>1.57376267143709</v>
      </c>
      <c r="G20" s="243">
        <f t="shared" si="7"/>
        <v>1.6262418357261492</v>
      </c>
    </row>
    <row r="22" spans="2:7" x14ac:dyDescent="0.3">
      <c r="B22" s="241" t="s">
        <v>597</v>
      </c>
      <c r="C22" s="242">
        <f t="shared" ref="C22:G22" si="8">C12*C16*C20</f>
        <v>0.18357368067400631</v>
      </c>
      <c r="D22" s="242">
        <f t="shared" si="8"/>
        <v>0.20369345342927589</v>
      </c>
      <c r="E22" s="242">
        <f t="shared" si="8"/>
        <v>0.20245858040621734</v>
      </c>
      <c r="F22" s="242">
        <f t="shared" si="8"/>
        <v>0.21166766050486982</v>
      </c>
      <c r="G22" s="242">
        <f t="shared" si="8"/>
        <v>0.30649779399027932</v>
      </c>
    </row>
    <row r="24" spans="2:7" x14ac:dyDescent="0.3">
      <c r="B24" s="362" t="s">
        <v>598</v>
      </c>
      <c r="C24" s="362"/>
      <c r="D24" s="362"/>
      <c r="E24" s="362"/>
      <c r="F24" s="362"/>
      <c r="G24" s="362"/>
    </row>
    <row r="25" spans="2:7" x14ac:dyDescent="0.3">
      <c r="C25" s="22">
        <f t="shared" ref="C25:G25" si="9">C3</f>
        <v>44651</v>
      </c>
      <c r="D25" s="22">
        <f t="shared" si="9"/>
        <v>45016</v>
      </c>
      <c r="E25" s="22">
        <f t="shared" si="9"/>
        <v>45382</v>
      </c>
      <c r="F25" s="22">
        <f t="shared" si="9"/>
        <v>45747</v>
      </c>
      <c r="G25" s="22">
        <f t="shared" si="9"/>
        <v>46112</v>
      </c>
    </row>
    <row r="26" spans="2:7" x14ac:dyDescent="0.3">
      <c r="B26" t="s">
        <v>589</v>
      </c>
      <c r="C26">
        <f t="shared" ref="C26:G26" si="10">C10</f>
        <v>8879</v>
      </c>
      <c r="D26">
        <f t="shared" si="10"/>
        <v>10120</v>
      </c>
      <c r="E26">
        <f t="shared" si="10"/>
        <v>10277</v>
      </c>
      <c r="F26">
        <f t="shared" si="10"/>
        <v>10649</v>
      </c>
      <c r="G26">
        <f t="shared" si="10"/>
        <v>15040</v>
      </c>
    </row>
    <row r="27" spans="2:7" x14ac:dyDescent="0.3">
      <c r="B27" t="s">
        <v>594</v>
      </c>
      <c r="C27">
        <f t="shared" ref="C27:G27" si="11">C15</f>
        <v>69623</v>
      </c>
      <c r="D27">
        <f t="shared" si="11"/>
        <v>71791.5</v>
      </c>
      <c r="E27">
        <f t="shared" si="11"/>
        <v>75783</v>
      </c>
      <c r="F27">
        <f t="shared" si="11"/>
        <v>79176</v>
      </c>
      <c r="G27">
        <f t="shared" si="11"/>
        <v>79800.5</v>
      </c>
    </row>
    <row r="28" spans="2:7" x14ac:dyDescent="0.3">
      <c r="B28" s="241" t="s">
        <v>50</v>
      </c>
      <c r="C28" s="242">
        <f t="shared" ref="C28:G28" si="12">C26/C27</f>
        <v>0.12752969564655359</v>
      </c>
      <c r="D28" s="242">
        <f t="shared" si="12"/>
        <v>0.14096376311958936</v>
      </c>
      <c r="E28" s="242">
        <f t="shared" si="12"/>
        <v>0.1356108889856564</v>
      </c>
      <c r="F28" s="242">
        <f t="shared" si="12"/>
        <v>0.13449782762453269</v>
      </c>
      <c r="G28" s="242">
        <f t="shared" si="12"/>
        <v>0.1884699970551563</v>
      </c>
    </row>
    <row r="30" spans="2:7" x14ac:dyDescent="0.3">
      <c r="B30" s="362" t="s">
        <v>599</v>
      </c>
      <c r="C30" s="362"/>
      <c r="D30" s="362"/>
      <c r="E30" s="362"/>
      <c r="F30" s="362"/>
      <c r="G30" s="362"/>
    </row>
    <row r="31" spans="2:7" x14ac:dyDescent="0.3">
      <c r="C31" s="22">
        <f t="shared" ref="C31:G31" si="13">C3</f>
        <v>44651</v>
      </c>
      <c r="D31" s="22">
        <f t="shared" si="13"/>
        <v>45016</v>
      </c>
      <c r="E31" s="22">
        <f t="shared" si="13"/>
        <v>45382</v>
      </c>
      <c r="F31" s="22">
        <f t="shared" si="13"/>
        <v>45747</v>
      </c>
      <c r="G31" s="22">
        <f t="shared" si="13"/>
        <v>46112</v>
      </c>
    </row>
    <row r="32" spans="2:7" x14ac:dyDescent="0.3">
      <c r="B32" t="s">
        <v>589</v>
      </c>
      <c r="C32">
        <f t="shared" ref="C32:G32" si="14">C26</f>
        <v>8879</v>
      </c>
      <c r="D32">
        <f t="shared" si="14"/>
        <v>10120</v>
      </c>
      <c r="E32">
        <f t="shared" si="14"/>
        <v>10277</v>
      </c>
      <c r="F32">
        <f t="shared" si="14"/>
        <v>10649</v>
      </c>
      <c r="G32">
        <f t="shared" si="14"/>
        <v>15040</v>
      </c>
    </row>
    <row r="33" spans="2:7" x14ac:dyDescent="0.3">
      <c r="B33" t="s">
        <v>89</v>
      </c>
      <c r="C33">
        <f t="shared" ref="C33:G33" si="15">C14</f>
        <v>52446</v>
      </c>
      <c r="D33">
        <f t="shared" si="15"/>
        <v>60580</v>
      </c>
      <c r="E33">
        <f t="shared" si="15"/>
        <v>61896</v>
      </c>
      <c r="F33">
        <f t="shared" si="15"/>
        <v>61328</v>
      </c>
      <c r="G33">
        <f t="shared" si="15"/>
        <v>64468</v>
      </c>
    </row>
    <row r="34" spans="2:7" x14ac:dyDescent="0.3">
      <c r="B34" s="241" t="s">
        <v>593</v>
      </c>
      <c r="C34" s="242">
        <f t="shared" ref="C34:G34" si="16">C32/C33</f>
        <v>0.16929794455249209</v>
      </c>
      <c r="D34" s="242">
        <f t="shared" si="16"/>
        <v>0.16705183228788378</v>
      </c>
      <c r="E34" s="242">
        <f t="shared" si="16"/>
        <v>0.16603657748481324</v>
      </c>
      <c r="F34" s="242">
        <f t="shared" si="16"/>
        <v>0.17364009913905556</v>
      </c>
      <c r="G34" s="242">
        <f t="shared" si="16"/>
        <v>0.23329403735186449</v>
      </c>
    </row>
    <row r="36" spans="2:7" x14ac:dyDescent="0.3">
      <c r="B36" t="s">
        <v>89</v>
      </c>
      <c r="C36">
        <f t="shared" ref="C36:G36" si="17">C33</f>
        <v>52446</v>
      </c>
      <c r="D36">
        <f t="shared" si="17"/>
        <v>60580</v>
      </c>
      <c r="E36">
        <f t="shared" si="17"/>
        <v>61896</v>
      </c>
      <c r="F36">
        <f t="shared" si="17"/>
        <v>61328</v>
      </c>
      <c r="G36">
        <f t="shared" si="17"/>
        <v>64468</v>
      </c>
    </row>
    <row r="37" spans="2:7" x14ac:dyDescent="0.3">
      <c r="B37" t="s">
        <v>594</v>
      </c>
      <c r="C37">
        <f t="shared" ref="C37:G37" si="18">C15</f>
        <v>69623</v>
      </c>
      <c r="D37">
        <f t="shared" si="18"/>
        <v>71791.5</v>
      </c>
      <c r="E37">
        <f t="shared" si="18"/>
        <v>75783</v>
      </c>
      <c r="F37">
        <f t="shared" si="18"/>
        <v>79176</v>
      </c>
      <c r="G37">
        <f t="shared" si="18"/>
        <v>79800.5</v>
      </c>
    </row>
    <row r="38" spans="2:7" x14ac:dyDescent="0.3">
      <c r="B38" s="241" t="s">
        <v>595</v>
      </c>
      <c r="C38" s="243">
        <f t="shared" ref="C38:G38" si="19">C36/C37</f>
        <v>0.75328555218821369</v>
      </c>
      <c r="D38" s="243">
        <f t="shared" si="19"/>
        <v>0.84383248713287784</v>
      </c>
      <c r="E38" s="243">
        <f t="shared" si="19"/>
        <v>0.81675309766042514</v>
      </c>
      <c r="F38" s="243">
        <f t="shared" si="19"/>
        <v>0.77457815499646354</v>
      </c>
      <c r="G38" s="243">
        <f t="shared" si="19"/>
        <v>0.80786461237711538</v>
      </c>
    </row>
    <row r="40" spans="2:7" x14ac:dyDescent="0.3">
      <c r="B40" s="241" t="s">
        <v>600</v>
      </c>
      <c r="C40" s="242">
        <f t="shared" ref="C40:G40" si="20">C34*C38</f>
        <v>0.12752969564655359</v>
      </c>
      <c r="D40" s="242">
        <f t="shared" si="20"/>
        <v>0.14096376311958936</v>
      </c>
      <c r="E40" s="242">
        <f t="shared" si="20"/>
        <v>0.1356108889856564</v>
      </c>
      <c r="F40" s="242">
        <f t="shared" si="20"/>
        <v>0.13449782762453269</v>
      </c>
      <c r="G40" s="242">
        <f t="shared" si="20"/>
        <v>0.1884699970551563</v>
      </c>
    </row>
  </sheetData>
  <mergeCells count="4">
    <mergeCell ref="B2:G2"/>
    <mergeCell ref="B8:G8"/>
    <mergeCell ref="B24:G24"/>
    <mergeCell ref="B30:G30"/>
  </mergeCells>
  <pageMargins left="0.7" right="0.7" top="0.75" bottom="0.75" header="0.3" footer="0.3"/>
  <ignoredErrors>
    <ignoredError sqref="C5:G5 C15:G15"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F7430-5B3A-4C66-9763-0BC24483AB60}">
  <sheetPr>
    <tabColor rgb="FF1B2A63"/>
  </sheetPr>
  <dimension ref="B2:J43"/>
  <sheetViews>
    <sheetView showGridLines="0" tabSelected="1" workbookViewId="0">
      <selection activeCell="K26" sqref="K26"/>
    </sheetView>
  </sheetViews>
  <sheetFormatPr defaultRowHeight="14.4" x14ac:dyDescent="0.3"/>
  <cols>
    <col min="1" max="1" width="3.6640625" customWidth="1"/>
    <col min="2" max="2" width="28.109375" bestFit="1" customWidth="1"/>
    <col min="3" max="4" width="12.109375" bestFit="1" customWidth="1"/>
    <col min="5" max="9" width="12.5546875" bestFit="1" customWidth="1"/>
  </cols>
  <sheetData>
    <row r="2" spans="2:10" x14ac:dyDescent="0.3">
      <c r="J2" s="290" t="s">
        <v>175</v>
      </c>
    </row>
    <row r="3" spans="2:10" x14ac:dyDescent="0.3">
      <c r="B3" s="363" t="s">
        <v>82</v>
      </c>
      <c r="C3" s="363"/>
      <c r="D3" s="363"/>
      <c r="E3" s="363"/>
      <c r="F3" s="363"/>
      <c r="G3" s="363"/>
      <c r="H3" s="363"/>
      <c r="I3" s="363"/>
      <c r="J3" s="291">
        <v>1.2</v>
      </c>
    </row>
    <row r="4" spans="2:10" x14ac:dyDescent="0.3">
      <c r="B4" s="303"/>
      <c r="C4" s="304">
        <f>'Data Sheet'!E16</f>
        <v>43921</v>
      </c>
      <c r="D4" s="304">
        <f>'Data Sheet'!F16</f>
        <v>44286</v>
      </c>
      <c r="E4" s="304">
        <f>'Data Sheet'!G16</f>
        <v>44651</v>
      </c>
      <c r="F4" s="304">
        <f>'Data Sheet'!H16</f>
        <v>45016</v>
      </c>
      <c r="G4" s="304">
        <f>'Data Sheet'!I16</f>
        <v>45382</v>
      </c>
      <c r="H4" s="304">
        <f>'Data Sheet'!J16</f>
        <v>45747</v>
      </c>
      <c r="I4" s="304">
        <f>'Data Sheet'!K16</f>
        <v>46112</v>
      </c>
      <c r="J4" s="2" t="s">
        <v>81</v>
      </c>
    </row>
    <row r="5" spans="2:10" x14ac:dyDescent="0.3">
      <c r="B5" s="295" t="s">
        <v>30</v>
      </c>
      <c r="C5" s="296">
        <f>IFERROR('Data Sheet'!E65-'Data Sheet'!E60,0)</f>
        <v>898</v>
      </c>
      <c r="D5" s="296">
        <f>IFERROR('Data Sheet'!F65-'Data Sheet'!F60,0)</f>
        <v>-7223</v>
      </c>
      <c r="E5" s="296">
        <f>IFERROR('Data Sheet'!G65-'Data Sheet'!G60,0)</f>
        <v>-6203</v>
      </c>
      <c r="F5" s="296">
        <f>IFERROR('Data Sheet'!H65-'Data Sheet'!H60,0)</f>
        <v>-5169</v>
      </c>
      <c r="G5" s="296">
        <f>IFERROR('Data Sheet'!I65-'Data Sheet'!I60,0)</f>
        <v>-6692</v>
      </c>
      <c r="H5" s="296">
        <f>IFERROR('Data Sheet'!J65-'Data Sheet'!J60,0)</f>
        <v>-8104</v>
      </c>
      <c r="I5" s="296">
        <f>IFERROR('Data Sheet'!K65-'Data Sheet'!K60,0)</f>
        <v>-12450</v>
      </c>
      <c r="J5" s="2"/>
    </row>
    <row r="6" spans="2:10" x14ac:dyDescent="0.3">
      <c r="B6" s="295" t="s">
        <v>83</v>
      </c>
      <c r="C6" s="296">
        <f>IFERROR(AVERAGE('Data Sheet'!D66:E66),0)</f>
        <v>19391</v>
      </c>
      <c r="D6" s="296">
        <f>IFERROR(AVERAGE('Data Sheet'!E66:F66),0)</f>
        <v>44446.5</v>
      </c>
      <c r="E6" s="296">
        <f>IFERROR(AVERAGE('Data Sheet'!F66:G66),0)</f>
        <v>69623</v>
      </c>
      <c r="F6" s="296">
        <f>IFERROR(AVERAGE('Data Sheet'!G66:H66),0)</f>
        <v>71791.5</v>
      </c>
      <c r="G6" s="296">
        <f>IFERROR(AVERAGE('Data Sheet'!H66:I66),0)</f>
        <v>75783</v>
      </c>
      <c r="H6" s="296">
        <f>IFERROR(AVERAGE('Data Sheet'!I66:J66),0)</f>
        <v>79176</v>
      </c>
      <c r="I6" s="296">
        <f>IFERROR(AVERAGE('Data Sheet'!J66:K66),0)</f>
        <v>79800.5</v>
      </c>
      <c r="J6" s="2"/>
    </row>
    <row r="7" spans="2:10" x14ac:dyDescent="0.3">
      <c r="B7" s="297" t="str">
        <f>B3</f>
        <v>Working Capital / Total  Assets</v>
      </c>
      <c r="C7" s="298">
        <f>C5/C6</f>
        <v>4.6310143881181993E-2</v>
      </c>
      <c r="D7" s="298">
        <f t="shared" ref="D7:I7" si="0">D5/D6</f>
        <v>-0.162509983913244</v>
      </c>
      <c r="E7" s="298">
        <f t="shared" si="0"/>
        <v>-8.9094121195581924E-2</v>
      </c>
      <c r="F7" s="298">
        <f t="shared" si="0"/>
        <v>-7.2000167150707256E-2</v>
      </c>
      <c r="G7" s="298">
        <f t="shared" si="0"/>
        <v>-8.8304764920892551E-2</v>
      </c>
      <c r="H7" s="298">
        <f t="shared" si="0"/>
        <v>-0.10235424876225119</v>
      </c>
      <c r="I7" s="298">
        <f t="shared" si="0"/>
        <v>-0.1560140600622803</v>
      </c>
      <c r="J7" s="2"/>
    </row>
    <row r="8" spans="2:10" x14ac:dyDescent="0.3">
      <c r="J8" s="2"/>
    </row>
    <row r="9" spans="2:10" x14ac:dyDescent="0.3">
      <c r="B9" s="363" t="s">
        <v>84</v>
      </c>
      <c r="C9" s="363"/>
      <c r="D9" s="363"/>
      <c r="E9" s="363"/>
      <c r="F9" s="363"/>
      <c r="G9" s="363"/>
      <c r="H9" s="363"/>
      <c r="I9" s="363"/>
      <c r="J9" s="291">
        <v>1.4</v>
      </c>
    </row>
    <row r="10" spans="2:10" x14ac:dyDescent="0.3">
      <c r="B10" s="303"/>
      <c r="C10" s="304">
        <f>C4</f>
        <v>43921</v>
      </c>
      <c r="D10" s="304">
        <f t="shared" ref="D10:I10" si="1">D4</f>
        <v>44286</v>
      </c>
      <c r="E10" s="304">
        <f t="shared" si="1"/>
        <v>44651</v>
      </c>
      <c r="F10" s="304">
        <f t="shared" si="1"/>
        <v>45016</v>
      </c>
      <c r="G10" s="304">
        <f t="shared" si="1"/>
        <v>45382</v>
      </c>
      <c r="H10" s="304">
        <f t="shared" si="1"/>
        <v>45747</v>
      </c>
      <c r="I10" s="304">
        <f t="shared" si="1"/>
        <v>46112</v>
      </c>
      <c r="J10" t="s">
        <v>81</v>
      </c>
    </row>
    <row r="11" spans="2:10" x14ac:dyDescent="0.3">
      <c r="B11" s="295" t="s">
        <v>85</v>
      </c>
      <c r="C11" s="296">
        <f>'Data Sheet'!E58</f>
        <v>8013</v>
      </c>
      <c r="D11" s="296">
        <f>'Data Sheet'!F58</f>
        <v>47439</v>
      </c>
      <c r="E11" s="296">
        <f>'Data Sheet'!G58</f>
        <v>48826</v>
      </c>
      <c r="F11" s="296">
        <f>'Data Sheet'!H58</f>
        <v>50069</v>
      </c>
      <c r="G11" s="296">
        <f>'Data Sheet'!I58</f>
        <v>50983</v>
      </c>
      <c r="H11" s="296">
        <f>'Data Sheet'!J58</f>
        <v>49167</v>
      </c>
      <c r="I11" s="296">
        <f>'Data Sheet'!K58</f>
        <v>48504</v>
      </c>
    </row>
    <row r="12" spans="2:10" x14ac:dyDescent="0.3">
      <c r="B12" s="295" t="s">
        <v>83</v>
      </c>
      <c r="C12" s="296">
        <f>C6</f>
        <v>19391</v>
      </c>
      <c r="D12" s="296">
        <f t="shared" ref="D12:I12" si="2">D6</f>
        <v>44446.5</v>
      </c>
      <c r="E12" s="296">
        <f t="shared" si="2"/>
        <v>69623</v>
      </c>
      <c r="F12" s="296">
        <f t="shared" si="2"/>
        <v>71791.5</v>
      </c>
      <c r="G12" s="296">
        <f t="shared" si="2"/>
        <v>75783</v>
      </c>
      <c r="H12" s="296">
        <f t="shared" si="2"/>
        <v>79176</v>
      </c>
      <c r="I12" s="296">
        <f t="shared" si="2"/>
        <v>79800.5</v>
      </c>
    </row>
    <row r="13" spans="2:10" x14ac:dyDescent="0.3">
      <c r="B13" s="297" t="str">
        <f>B9</f>
        <v>Retained Earnings / Total Assets</v>
      </c>
      <c r="C13" s="298">
        <f>C11/C12</f>
        <v>0.41323294311794129</v>
      </c>
      <c r="D13" s="298">
        <f t="shared" ref="D13:I13" si="3">D11/D12</f>
        <v>1.0673281360737066</v>
      </c>
      <c r="E13" s="298">
        <f t="shared" si="3"/>
        <v>0.70129123996380505</v>
      </c>
      <c r="F13" s="298">
        <f t="shared" si="3"/>
        <v>0.69742239680184981</v>
      </c>
      <c r="G13" s="298">
        <f t="shared" si="3"/>
        <v>0.67274982515867676</v>
      </c>
      <c r="H13" s="298">
        <f t="shared" si="3"/>
        <v>0.62098363140345558</v>
      </c>
      <c r="I13" s="298">
        <f t="shared" si="3"/>
        <v>0.60781574050287901</v>
      </c>
    </row>
    <row r="15" spans="2:10" x14ac:dyDescent="0.3">
      <c r="B15" s="363" t="s">
        <v>86</v>
      </c>
      <c r="C15" s="363"/>
      <c r="D15" s="363"/>
      <c r="E15" s="363"/>
      <c r="F15" s="363"/>
      <c r="G15" s="363"/>
      <c r="H15" s="363"/>
      <c r="I15" s="363"/>
      <c r="J15" s="292">
        <v>3.3</v>
      </c>
    </row>
    <row r="16" spans="2:10" x14ac:dyDescent="0.3">
      <c r="B16" s="303"/>
      <c r="C16" s="304">
        <f>C4</f>
        <v>43921</v>
      </c>
      <c r="D16" s="304">
        <f t="shared" ref="D16:I16" si="4">D4</f>
        <v>44286</v>
      </c>
      <c r="E16" s="304">
        <f t="shared" si="4"/>
        <v>44651</v>
      </c>
      <c r="F16" s="304">
        <f t="shared" si="4"/>
        <v>45016</v>
      </c>
      <c r="G16" s="304">
        <f t="shared" si="4"/>
        <v>45382</v>
      </c>
      <c r="H16" s="304">
        <f t="shared" si="4"/>
        <v>45747</v>
      </c>
      <c r="I16" s="304">
        <f t="shared" si="4"/>
        <v>46112</v>
      </c>
      <c r="J16" t="s">
        <v>81</v>
      </c>
    </row>
    <row r="17" spans="2:10" x14ac:dyDescent="0.3">
      <c r="B17" s="295" t="s">
        <v>87</v>
      </c>
      <c r="C17" s="296">
        <f>SUM('Data Sheet'!E28,'Data Sheet'!E27)</f>
        <v>9283</v>
      </c>
      <c r="D17" s="296">
        <f>SUM('Data Sheet'!F28,'Data Sheet'!F27)</f>
        <v>10722</v>
      </c>
      <c r="E17" s="296">
        <f>SUM('Data Sheet'!G28,'Data Sheet'!G27)</f>
        <v>11985</v>
      </c>
      <c r="F17" s="296">
        <f>SUM('Data Sheet'!H28,'Data Sheet'!H27)</f>
        <v>13458</v>
      </c>
      <c r="G17" s="296">
        <f>SUM('Data Sheet'!I28,'Data Sheet'!I27)</f>
        <v>14260</v>
      </c>
      <c r="H17" s="296">
        <f>SUM('Data Sheet'!J28,'Data Sheet'!J27)</f>
        <v>14800</v>
      </c>
      <c r="I17" s="296">
        <f>SUM('Data Sheet'!K28,'Data Sheet'!K27)</f>
        <v>18629</v>
      </c>
    </row>
    <row r="18" spans="2:10" x14ac:dyDescent="0.3">
      <c r="B18" s="295" t="s">
        <v>83</v>
      </c>
      <c r="C18" s="296">
        <f>C6</f>
        <v>19391</v>
      </c>
      <c r="D18" s="296">
        <f t="shared" ref="D18:I18" si="5">D6</f>
        <v>44446.5</v>
      </c>
      <c r="E18" s="296">
        <f t="shared" si="5"/>
        <v>69623</v>
      </c>
      <c r="F18" s="296">
        <f t="shared" si="5"/>
        <v>71791.5</v>
      </c>
      <c r="G18" s="296">
        <f t="shared" si="5"/>
        <v>75783</v>
      </c>
      <c r="H18" s="296">
        <f t="shared" si="5"/>
        <v>79176</v>
      </c>
      <c r="I18" s="296">
        <f t="shared" si="5"/>
        <v>79800.5</v>
      </c>
    </row>
    <row r="19" spans="2:10" x14ac:dyDescent="0.3">
      <c r="B19" s="297" t="str">
        <f>B15</f>
        <v>EBIT / Total Assets</v>
      </c>
      <c r="C19" s="298">
        <f>C17/C18</f>
        <v>0.47872724459800936</v>
      </c>
      <c r="D19" s="298">
        <f t="shared" ref="D19:I19" si="6">D17/D18</f>
        <v>0.24123384293476427</v>
      </c>
      <c r="E19" s="298">
        <f t="shared" si="6"/>
        <v>0.17214139005788318</v>
      </c>
      <c r="F19" s="298">
        <f t="shared" si="6"/>
        <v>0.18745951818808634</v>
      </c>
      <c r="G19" s="298">
        <f t="shared" si="6"/>
        <v>0.18816885053376087</v>
      </c>
      <c r="H19" s="298">
        <f t="shared" si="6"/>
        <v>0.18692533090835606</v>
      </c>
      <c r="I19" s="298">
        <f t="shared" si="6"/>
        <v>0.2334446526024273</v>
      </c>
    </row>
    <row r="20" spans="2:10" x14ac:dyDescent="0.3">
      <c r="B20" s="2"/>
      <c r="C20" s="24"/>
      <c r="D20" s="24"/>
      <c r="E20" s="24"/>
      <c r="F20" s="24"/>
      <c r="G20" s="24"/>
      <c r="H20" s="24"/>
      <c r="I20" s="24"/>
    </row>
    <row r="21" spans="2:10" x14ac:dyDescent="0.3">
      <c r="B21" s="363" t="s">
        <v>88</v>
      </c>
      <c r="C21" s="363"/>
      <c r="D21" s="363"/>
      <c r="E21" s="363"/>
      <c r="F21" s="363"/>
      <c r="G21" s="363"/>
      <c r="H21" s="363"/>
      <c r="I21" s="363"/>
      <c r="J21" s="292">
        <v>1</v>
      </c>
    </row>
    <row r="22" spans="2:10" x14ac:dyDescent="0.3">
      <c r="B22" s="303"/>
      <c r="C22" s="304">
        <f>C10</f>
        <v>43921</v>
      </c>
      <c r="D22" s="304">
        <f t="shared" ref="D22:I22" si="7">D10</f>
        <v>44286</v>
      </c>
      <c r="E22" s="304">
        <f t="shared" si="7"/>
        <v>44651</v>
      </c>
      <c r="F22" s="304">
        <f t="shared" si="7"/>
        <v>45016</v>
      </c>
      <c r="G22" s="304">
        <f t="shared" si="7"/>
        <v>45382</v>
      </c>
      <c r="H22" s="304">
        <f t="shared" si="7"/>
        <v>45747</v>
      </c>
      <c r="I22" s="304">
        <f t="shared" si="7"/>
        <v>46112</v>
      </c>
      <c r="J22" t="s">
        <v>81</v>
      </c>
    </row>
    <row r="23" spans="2:10" x14ac:dyDescent="0.3">
      <c r="B23" s="295" t="s">
        <v>89</v>
      </c>
      <c r="C23" s="296">
        <f>'Data Sheet'!E17</f>
        <v>39783</v>
      </c>
      <c r="D23" s="296">
        <f>'Data Sheet'!F17</f>
        <v>47028</v>
      </c>
      <c r="E23" s="296">
        <f>'Data Sheet'!G17</f>
        <v>52446</v>
      </c>
      <c r="F23" s="296">
        <f>'Data Sheet'!H17</f>
        <v>60580</v>
      </c>
      <c r="G23" s="296">
        <f>'Data Sheet'!I17</f>
        <v>61896</v>
      </c>
      <c r="H23" s="296">
        <f>'Data Sheet'!J17</f>
        <v>61328</v>
      </c>
      <c r="I23" s="296">
        <f>'Data Sheet'!K17</f>
        <v>64468</v>
      </c>
    </row>
    <row r="24" spans="2:10" x14ac:dyDescent="0.3">
      <c r="B24" s="295" t="s">
        <v>83</v>
      </c>
      <c r="C24" s="296">
        <f>C12</f>
        <v>19391</v>
      </c>
      <c r="D24" s="296">
        <f t="shared" ref="D24:I24" si="8">D12</f>
        <v>44446.5</v>
      </c>
      <c r="E24" s="296">
        <f t="shared" si="8"/>
        <v>69623</v>
      </c>
      <c r="F24" s="296">
        <f t="shared" si="8"/>
        <v>71791.5</v>
      </c>
      <c r="G24" s="296">
        <f t="shared" si="8"/>
        <v>75783</v>
      </c>
      <c r="H24" s="296">
        <f t="shared" si="8"/>
        <v>79176</v>
      </c>
      <c r="I24" s="296">
        <f t="shared" si="8"/>
        <v>79800.5</v>
      </c>
    </row>
    <row r="25" spans="2:10" x14ac:dyDescent="0.3">
      <c r="B25" s="297" t="str">
        <f>B21</f>
        <v>Revenue / Total Assets</v>
      </c>
      <c r="C25" s="298">
        <f>C23/C24</f>
        <v>2.051621886442164</v>
      </c>
      <c r="D25" s="298">
        <f t="shared" ref="D25:I25" si="9">D23/D24</f>
        <v>1.0580810637508016</v>
      </c>
      <c r="E25" s="298">
        <f t="shared" si="9"/>
        <v>0.75328555218821369</v>
      </c>
      <c r="F25" s="298">
        <f t="shared" si="9"/>
        <v>0.84383248713287784</v>
      </c>
      <c r="G25" s="298">
        <f t="shared" si="9"/>
        <v>0.81675309766042514</v>
      </c>
      <c r="H25" s="298">
        <f t="shared" si="9"/>
        <v>0.77457815499646354</v>
      </c>
      <c r="I25" s="298">
        <f t="shared" si="9"/>
        <v>0.80786461237711538</v>
      </c>
    </row>
    <row r="26" spans="2:10" x14ac:dyDescent="0.3">
      <c r="B26" s="2"/>
      <c r="C26" s="24"/>
      <c r="D26" s="24"/>
      <c r="E26" s="24"/>
      <c r="F26" s="24"/>
      <c r="G26" s="24"/>
      <c r="H26" s="24"/>
      <c r="I26" s="24"/>
    </row>
    <row r="27" spans="2:10" x14ac:dyDescent="0.3">
      <c r="B27" s="363" t="s">
        <v>90</v>
      </c>
      <c r="C27" s="363"/>
      <c r="D27" s="363"/>
      <c r="E27" s="363"/>
      <c r="F27" s="363"/>
      <c r="G27" s="363"/>
      <c r="H27" s="363"/>
      <c r="I27" s="363"/>
      <c r="J27" s="292">
        <v>0.6</v>
      </c>
    </row>
    <row r="28" spans="2:10" x14ac:dyDescent="0.3">
      <c r="B28" s="303"/>
      <c r="C28" s="304">
        <f>C4</f>
        <v>43921</v>
      </c>
      <c r="D28" s="304">
        <f t="shared" ref="D28:I28" si="10">D4</f>
        <v>44286</v>
      </c>
      <c r="E28" s="304">
        <f t="shared" si="10"/>
        <v>44651</v>
      </c>
      <c r="F28" s="304">
        <f t="shared" si="10"/>
        <v>45016</v>
      </c>
      <c r="G28" s="304">
        <f t="shared" si="10"/>
        <v>45382</v>
      </c>
      <c r="H28" s="304">
        <f t="shared" si="10"/>
        <v>45747</v>
      </c>
      <c r="I28" s="304">
        <f t="shared" si="10"/>
        <v>46112</v>
      </c>
      <c r="J28" t="s">
        <v>81</v>
      </c>
    </row>
    <row r="29" spans="2:10" x14ac:dyDescent="0.3">
      <c r="B29" s="295" t="s">
        <v>91</v>
      </c>
      <c r="C29" s="296">
        <f>PRODUCT('Data Sheet'!C90,'Data Sheet'!C93)</f>
        <v>276214.00949999999</v>
      </c>
      <c r="D29" s="296">
        <f>PRODUCT('Data Sheet'!D90,'Data Sheet'!D93)</f>
        <v>353610.23910000001</v>
      </c>
      <c r="E29" s="296">
        <f>PRODUCT('Data Sheet'!E90,'Data Sheet'!E93)</f>
        <v>476219.19839999994</v>
      </c>
      <c r="F29" s="296">
        <f>PRODUCT('Data Sheet'!F90,'Data Sheet'!F93)</f>
        <v>546780.1152</v>
      </c>
      <c r="G29" s="296">
        <f>PRODUCT('Data Sheet'!G90,'Data Sheet'!G93)</f>
        <v>460686.07200000004</v>
      </c>
      <c r="H29" s="296">
        <f>PRODUCT('Data Sheet'!H90,'Data Sheet'!H93)</f>
        <v>575755.3824</v>
      </c>
      <c r="I29" s="296">
        <f>PRODUCT('Data Sheet'!I90,'Data Sheet'!I93)</f>
        <v>509191.2144</v>
      </c>
    </row>
    <row r="30" spans="2:10" x14ac:dyDescent="0.3">
      <c r="B30" s="295" t="s">
        <v>662</v>
      </c>
      <c r="C30" s="296">
        <f>'Data Sheet'!E61</f>
        <v>20153</v>
      </c>
      <c r="D30" s="296">
        <f>'Data Sheet'!F61</f>
        <v>68740</v>
      </c>
      <c r="E30" s="296">
        <f>'Data Sheet'!G61</f>
        <v>70506</v>
      </c>
      <c r="F30" s="296">
        <f>'Data Sheet'!H61</f>
        <v>73077</v>
      </c>
      <c r="G30" s="296">
        <f>'Data Sheet'!I61</f>
        <v>78489</v>
      </c>
      <c r="H30" s="296">
        <f>'Data Sheet'!J61</f>
        <v>79863</v>
      </c>
      <c r="I30" s="296">
        <f>'Data Sheet'!K61</f>
        <v>79738</v>
      </c>
    </row>
    <row r="31" spans="2:10" x14ac:dyDescent="0.3">
      <c r="B31" s="297" t="s">
        <v>90</v>
      </c>
      <c r="C31" s="299">
        <f>IFERROR(C29/C30,0)</f>
        <v>13.705850717014835</v>
      </c>
      <c r="D31" s="299">
        <f t="shared" ref="D31:I31" si="11">IFERROR(D29/D30,0)</f>
        <v>5.144169902531277</v>
      </c>
      <c r="E31" s="299">
        <f t="shared" si="11"/>
        <v>6.7543074121351365</v>
      </c>
      <c r="F31" s="299">
        <f t="shared" si="11"/>
        <v>7.4822463319512291</v>
      </c>
      <c r="G31" s="299">
        <f t="shared" si="11"/>
        <v>5.8694348507434171</v>
      </c>
      <c r="H31" s="299">
        <f t="shared" si="11"/>
        <v>7.2092881860185569</v>
      </c>
      <c r="I31" s="299">
        <f t="shared" si="11"/>
        <v>6.3858036870751711</v>
      </c>
    </row>
    <row r="33" spans="2:9" x14ac:dyDescent="0.3">
      <c r="B33" s="363" t="s">
        <v>92</v>
      </c>
      <c r="C33" s="363"/>
      <c r="D33" s="363"/>
      <c r="E33" s="363"/>
      <c r="F33" s="363"/>
      <c r="G33" s="363"/>
      <c r="H33" s="363"/>
      <c r="I33" s="363"/>
    </row>
    <row r="34" spans="2:9" x14ac:dyDescent="0.3">
      <c r="B34" s="303"/>
      <c r="C34" s="304">
        <f>C4</f>
        <v>43921</v>
      </c>
      <c r="D34" s="304">
        <f t="shared" ref="D34:I34" si="12">D4</f>
        <v>44286</v>
      </c>
      <c r="E34" s="304">
        <f t="shared" si="12"/>
        <v>44651</v>
      </c>
      <c r="F34" s="304">
        <f t="shared" si="12"/>
        <v>45016</v>
      </c>
      <c r="G34" s="304">
        <f t="shared" si="12"/>
        <v>45382</v>
      </c>
      <c r="H34" s="304">
        <f t="shared" si="12"/>
        <v>45747</v>
      </c>
      <c r="I34" s="304">
        <f t="shared" si="12"/>
        <v>46112</v>
      </c>
    </row>
    <row r="35" spans="2:9" x14ac:dyDescent="0.3">
      <c r="B35" s="300" t="s">
        <v>93</v>
      </c>
      <c r="C35" s="301">
        <f t="shared" ref="C35:I35" si="13">(C7*$J$3+C13*$J$9+C19*$J$15+C25*$J$21+C31*$J$27)</f>
        <v>12.489030516847031</v>
      </c>
      <c r="D35" s="301">
        <f t="shared" si="13"/>
        <v>6.2399020967615861</v>
      </c>
      <c r="E35" s="301">
        <f t="shared" si="13"/>
        <v>6.2488313771749393</v>
      </c>
      <c r="F35" s="301">
        <f t="shared" si="13"/>
        <v>6.8417878512660408</v>
      </c>
      <c r="G35" s="301">
        <f t="shared" si="13"/>
        <v>5.7952552521849627</v>
      </c>
      <c r="H35" s="301">
        <f t="shared" si="13"/>
        <v>6.4635566440553092</v>
      </c>
      <c r="I35" s="301">
        <f t="shared" si="13"/>
        <v>6.0734393428395226</v>
      </c>
    </row>
    <row r="36" spans="2:9" x14ac:dyDescent="0.3">
      <c r="B36" s="294"/>
      <c r="C36" s="294"/>
      <c r="D36" s="294"/>
      <c r="E36" s="294"/>
      <c r="F36" s="294"/>
      <c r="G36" s="294"/>
      <c r="H36" s="294"/>
      <c r="I36" s="294"/>
    </row>
    <row r="37" spans="2:9" x14ac:dyDescent="0.3">
      <c r="B37" s="297" t="s">
        <v>94</v>
      </c>
      <c r="C37" s="302" t="str" cm="1">
        <f t="array" ref="C37">_xlfn.IFS(C35&lt;1.81,"Distressed",C35&lt;3,"Grey Zone",C35&gt;2,"Stable")</f>
        <v>Stable</v>
      </c>
      <c r="D37" s="302" t="str" cm="1">
        <f t="array" ref="D37">_xlfn.IFS(D35&lt;1.81,"Distressed",D35&lt;3,"Grey Zone",D35&gt;2,"Stable")</f>
        <v>Stable</v>
      </c>
      <c r="E37" s="302" t="str" cm="1">
        <f t="array" ref="E37">_xlfn.IFS(E35&lt;1.81,"Distressed",E35&lt;3,"Grey Zone",E35&gt;2,"Stable")</f>
        <v>Stable</v>
      </c>
      <c r="F37" s="302" t="str" cm="1">
        <f t="array" ref="F37">_xlfn.IFS(F35&lt;1.81,"Distressed",F35&lt;3,"Grey Zone",F35&gt;2,"Stable")</f>
        <v>Stable</v>
      </c>
      <c r="G37" s="302" t="str" cm="1">
        <f t="array" ref="G37">_xlfn.IFS(G35&lt;1.81,"Distressed",G35&lt;3,"Grey Zone",G35&gt;2,"Stable")</f>
        <v>Stable</v>
      </c>
      <c r="H37" s="302" t="str" cm="1">
        <f t="array" ref="H37">_xlfn.IFS(H35&lt;1.81,"Distressed",H35&lt;3,"Grey Zone",H35&gt;2,"Stable")</f>
        <v>Stable</v>
      </c>
      <c r="I37" s="302" t="str" cm="1">
        <f t="array" ref="I37">_xlfn.IFS(I35&lt;1.81,"Distressed",I35&lt;3,"Grey Zone",I35&gt;2,"Stable")</f>
        <v>Stable</v>
      </c>
    </row>
    <row r="39" spans="2:9" x14ac:dyDescent="0.3">
      <c r="B39" s="293" t="s">
        <v>95</v>
      </c>
    </row>
    <row r="40" spans="2:9" x14ac:dyDescent="0.3">
      <c r="B40" s="293" t="s">
        <v>96</v>
      </c>
    </row>
    <row r="41" spans="2:9" x14ac:dyDescent="0.3">
      <c r="B41" s="293" t="s">
        <v>97</v>
      </c>
      <c r="C41" s="25"/>
      <c r="D41" s="25"/>
      <c r="E41" s="25"/>
      <c r="F41" s="25"/>
      <c r="G41" s="25"/>
      <c r="H41" s="25"/>
      <c r="I41" s="25"/>
    </row>
    <row r="43" spans="2:9" x14ac:dyDescent="0.3">
      <c r="C43" s="372"/>
    </row>
  </sheetData>
  <mergeCells count="6">
    <mergeCell ref="B33:I33"/>
    <mergeCell ref="B3:I3"/>
    <mergeCell ref="B9:I9"/>
    <mergeCell ref="B15:I15"/>
    <mergeCell ref="B21:I21"/>
    <mergeCell ref="B27:I27"/>
  </mergeCells>
  <conditionalFormatting sqref="C35:I35">
    <cfRule type="cellIs" dxfId="9" priority="1" operator="lessThan">
      <formula>1.81</formula>
    </cfRule>
    <cfRule type="cellIs" dxfId="8" priority="2" operator="between">
      <formula>1.81</formula>
      <formula>3</formula>
    </cfRule>
    <cfRule type="cellIs" dxfId="7" priority="3" operator="greaterThanOrEqual">
      <formula>3</formula>
    </cfRule>
  </conditionalFormatting>
  <conditionalFormatting sqref="C37:I37">
    <cfRule type="containsText" dxfId="6" priority="4" operator="containsText" text="Distressed">
      <formula>NOT(ISERROR(SEARCH("Distressed",C37)))</formula>
    </cfRule>
    <cfRule type="containsText" dxfId="5" priority="5" operator="containsText" text="Grey Zone">
      <formula>NOT(ISERROR(SEARCH("Grey Zone",C37)))</formula>
    </cfRule>
    <cfRule type="containsText" dxfId="4" priority="6" operator="containsText" text="Stable">
      <formula>NOT(ISERROR(SEARCH("Stable",C37)))</formula>
    </cfRule>
  </conditionalFormatting>
  <pageMargins left="0.7" right="0.7" top="0.75" bottom="0.75" header="0.3" footer="0.3"/>
  <ignoredErrors>
    <ignoredError sqref="C6:I6"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2ACF-56B2-48CD-AD41-9D75A4ECBFEE}">
  <sheetPr>
    <tabColor rgb="FF1B2A63"/>
  </sheetPr>
  <dimension ref="B3:M36"/>
  <sheetViews>
    <sheetView showGridLines="0" topLeftCell="A18" zoomScale="80" workbookViewId="0">
      <selection activeCell="B1" sqref="B1"/>
    </sheetView>
  </sheetViews>
  <sheetFormatPr defaultRowHeight="14.4" x14ac:dyDescent="0.3"/>
  <cols>
    <col min="1" max="1" width="3.109375" customWidth="1"/>
    <col min="2" max="2" width="47.109375" bestFit="1" customWidth="1"/>
    <col min="3" max="3" width="17" customWidth="1"/>
    <col min="4" max="5" width="16.88671875" bestFit="1" customWidth="1"/>
    <col min="6" max="6" width="17.88671875" bestFit="1" customWidth="1"/>
    <col min="7" max="11" width="16.88671875" bestFit="1" customWidth="1"/>
    <col min="12" max="12" width="12.33203125" customWidth="1"/>
  </cols>
  <sheetData>
    <row r="3" spans="2:12" ht="18.75" customHeight="1" x14ac:dyDescent="0.3">
      <c r="B3" s="356" t="s">
        <v>211</v>
      </c>
      <c r="C3" s="356"/>
      <c r="D3" s="356"/>
      <c r="E3" s="356"/>
      <c r="F3" s="356"/>
      <c r="G3" s="356"/>
      <c r="H3" s="356"/>
      <c r="I3" s="356"/>
      <c r="J3" s="356"/>
      <c r="K3" s="356"/>
      <c r="L3" s="356"/>
    </row>
    <row r="4" spans="2:12" ht="18" customHeight="1" x14ac:dyDescent="0.3">
      <c r="B4" s="72" t="s">
        <v>212</v>
      </c>
      <c r="C4" s="73" t="s">
        <v>177</v>
      </c>
      <c r="D4" s="73" t="s">
        <v>178</v>
      </c>
      <c r="E4" s="73" t="s">
        <v>179</v>
      </c>
      <c r="F4" s="73" t="s">
        <v>180</v>
      </c>
      <c r="G4" s="73" t="s">
        <v>181</v>
      </c>
      <c r="H4" s="73" t="s">
        <v>182</v>
      </c>
      <c r="I4" s="73" t="s">
        <v>183</v>
      </c>
      <c r="J4" s="73" t="s">
        <v>184</v>
      </c>
      <c r="K4" s="73" t="s">
        <v>185</v>
      </c>
      <c r="L4" s="73" t="s">
        <v>186</v>
      </c>
    </row>
    <row r="5" spans="2:12" ht="15.75" customHeight="1" x14ac:dyDescent="0.3">
      <c r="B5" s="74" t="s">
        <v>213</v>
      </c>
      <c r="C5" s="75">
        <f>'Data Sheet'!B17</f>
        <v>33162</v>
      </c>
      <c r="D5" s="75">
        <f>'Data Sheet'!C17</f>
        <v>35545</v>
      </c>
      <c r="E5" s="75">
        <f>'Data Sheet'!D17</f>
        <v>39310</v>
      </c>
      <c r="F5" s="75">
        <f>'Data Sheet'!E17</f>
        <v>39783</v>
      </c>
      <c r="G5" s="75">
        <f>'Data Sheet'!F17</f>
        <v>47028</v>
      </c>
      <c r="H5" s="75">
        <f>'Data Sheet'!G17</f>
        <v>52446</v>
      </c>
      <c r="I5" s="75">
        <f>'Data Sheet'!H17</f>
        <v>60580</v>
      </c>
      <c r="J5" s="75">
        <f>'Data Sheet'!I17</f>
        <v>61896</v>
      </c>
      <c r="K5" s="75">
        <f>'Data Sheet'!J17</f>
        <v>61328</v>
      </c>
      <c r="L5" s="75">
        <f>'Data Sheet'!K17</f>
        <v>64468</v>
      </c>
    </row>
    <row r="6" spans="2:12" ht="15.75" customHeight="1" x14ac:dyDescent="0.3">
      <c r="B6" s="74" t="s">
        <v>214</v>
      </c>
      <c r="C6" s="75">
        <f>'Data Sheet'!B67</f>
        <v>1085</v>
      </c>
      <c r="D6" s="75">
        <f>'Data Sheet'!C67</f>
        <v>1310</v>
      </c>
      <c r="E6" s="75">
        <f>'Data Sheet'!D67</f>
        <v>1816</v>
      </c>
      <c r="F6" s="75">
        <f>'Data Sheet'!E67</f>
        <v>1149</v>
      </c>
      <c r="G6" s="75">
        <f>'Data Sheet'!F67</f>
        <v>1758</v>
      </c>
      <c r="H6" s="75">
        <f>'Data Sheet'!G67</f>
        <v>2236</v>
      </c>
      <c r="I6" s="75">
        <f>'Data Sheet'!H67</f>
        <v>3079</v>
      </c>
      <c r="J6" s="75">
        <f>'Data Sheet'!I67</f>
        <v>2997</v>
      </c>
      <c r="K6" s="75">
        <f>'Data Sheet'!J67</f>
        <v>3819</v>
      </c>
      <c r="L6" s="75">
        <f>'Data Sheet'!K67</f>
        <v>3379</v>
      </c>
    </row>
    <row r="7" spans="2:12" ht="15.75" customHeight="1" x14ac:dyDescent="0.3">
      <c r="B7" s="74" t="s">
        <v>215</v>
      </c>
      <c r="C7" s="75">
        <f>'Data Sheet'!B17-SUM('Data Sheet'!B18:B21)</f>
        <v>16518</v>
      </c>
      <c r="D7" s="75">
        <f>'Data Sheet'!C17-SUM('Data Sheet'!C18:C21)</f>
        <v>17947</v>
      </c>
      <c r="E7" s="75">
        <f>'Data Sheet'!D17-SUM('Data Sheet'!D18:D21)</f>
        <v>20128</v>
      </c>
      <c r="F7" s="75">
        <f>'Data Sheet'!E17-SUM('Data Sheet'!E18:E21)</f>
        <v>20773</v>
      </c>
      <c r="G7" s="75">
        <f>'Data Sheet'!F17-SUM('Data Sheet'!F18:F21)</f>
        <v>23275</v>
      </c>
      <c r="H7" s="75">
        <f>'Data Sheet'!G17-SUM('Data Sheet'!G18:G21)</f>
        <v>25881</v>
      </c>
      <c r="I7" s="75">
        <f>'Data Sheet'!H17-SUM('Data Sheet'!H18:H21)</f>
        <v>27903</v>
      </c>
      <c r="J7" s="75">
        <f>'Data Sheet'!I17-SUM('Data Sheet'!I18:I21)</f>
        <v>31232</v>
      </c>
      <c r="K7" s="75">
        <f>'Data Sheet'!J17-SUM('Data Sheet'!J18:J21)</f>
        <v>30511</v>
      </c>
      <c r="L7" s="75">
        <f>'Data Sheet'!K17-SUM('Data Sheet'!K18:K21)</f>
        <v>31151</v>
      </c>
    </row>
    <row r="8" spans="2:12" ht="15.75" customHeight="1" x14ac:dyDescent="0.3">
      <c r="B8" s="74" t="s">
        <v>216</v>
      </c>
      <c r="C8" s="75">
        <f>'Data Sheet'!B66</f>
        <v>15706</v>
      </c>
      <c r="D8" s="75">
        <f>'Data Sheet'!C66</f>
        <v>17862</v>
      </c>
      <c r="E8" s="75">
        <f>'Data Sheet'!D66</f>
        <v>18629</v>
      </c>
      <c r="F8" s="75">
        <f>'Data Sheet'!E66</f>
        <v>20153</v>
      </c>
      <c r="G8" s="75">
        <f>'Data Sheet'!F66</f>
        <v>68740</v>
      </c>
      <c r="H8" s="75">
        <f>'Data Sheet'!G66</f>
        <v>70506</v>
      </c>
      <c r="I8" s="75">
        <f>'Data Sheet'!H66</f>
        <v>73077</v>
      </c>
      <c r="J8" s="75">
        <f>'Data Sheet'!I66</f>
        <v>78489</v>
      </c>
      <c r="K8" s="75">
        <f>'Data Sheet'!J66</f>
        <v>79863</v>
      </c>
      <c r="L8" s="75">
        <f>'Data Sheet'!K66</f>
        <v>79738</v>
      </c>
    </row>
    <row r="9" spans="2:12" ht="15.75" customHeight="1" x14ac:dyDescent="0.3">
      <c r="B9" s="74" t="s">
        <v>217</v>
      </c>
      <c r="C9" s="75">
        <f>'Data Sheet'!B65</f>
        <v>7264</v>
      </c>
      <c r="D9" s="75">
        <f>'Data Sheet'!C65</f>
        <v>10000</v>
      </c>
      <c r="E9" s="75">
        <f>'Data Sheet'!D65</f>
        <v>10792</v>
      </c>
      <c r="F9" s="75">
        <f>'Data Sheet'!E65</f>
        <v>12822</v>
      </c>
      <c r="G9" s="75">
        <f>'Data Sheet'!F65</f>
        <v>13843</v>
      </c>
      <c r="H9" s="75">
        <f>'Data Sheet'!G65</f>
        <v>14199</v>
      </c>
      <c r="I9" s="75">
        <f>'Data Sheet'!H65</f>
        <v>16385</v>
      </c>
      <c r="J9" s="75">
        <f>'Data Sheet'!I65</f>
        <v>19095</v>
      </c>
      <c r="K9" s="75">
        <f>'Data Sheet'!J65</f>
        <v>20709</v>
      </c>
      <c r="L9" s="75">
        <f>'Data Sheet'!K65</f>
        <v>17071</v>
      </c>
    </row>
    <row r="10" spans="2:12" ht="15.75" customHeight="1" x14ac:dyDescent="0.3">
      <c r="B10" s="74" t="s">
        <v>218</v>
      </c>
      <c r="C10" s="75">
        <f>SUM('Data Sheet'!B62:B63)</f>
        <v>4648</v>
      </c>
      <c r="D10" s="75">
        <f>SUM('Data Sheet'!C62:C63)</f>
        <v>4989</v>
      </c>
      <c r="E10" s="75">
        <f>SUM('Data Sheet'!D62:D63)</f>
        <v>5121</v>
      </c>
      <c r="F10" s="75">
        <f>SUM('Data Sheet'!E62:E63)</f>
        <v>6076</v>
      </c>
      <c r="G10" s="75">
        <f>SUM('Data Sheet'!F62:F63)</f>
        <v>52188</v>
      </c>
      <c r="H10" s="75">
        <f>SUM('Data Sheet'!G62:G63)</f>
        <v>52786</v>
      </c>
      <c r="I10" s="75">
        <f>SUM('Data Sheet'!H62:H63)</f>
        <v>53810</v>
      </c>
      <c r="J10" s="75">
        <f>SUM('Data Sheet'!I62:I63)</f>
        <v>54769</v>
      </c>
      <c r="K10" s="75">
        <f>SUM('Data Sheet'!J62:J63)</f>
        <v>55344</v>
      </c>
      <c r="L10" s="75">
        <f>SUM('Data Sheet'!K62:K63)</f>
        <v>58308</v>
      </c>
    </row>
    <row r="11" spans="2:12" ht="15.75" customHeight="1" x14ac:dyDescent="0.3">
      <c r="B11" s="74" t="s">
        <v>219</v>
      </c>
      <c r="C11" s="75">
        <f>'Data Sheet'!B64</f>
        <v>3794</v>
      </c>
      <c r="D11" s="75">
        <f>'Data Sheet'!C64</f>
        <v>2873</v>
      </c>
      <c r="E11" s="75">
        <f>'Data Sheet'!D64</f>
        <v>2716</v>
      </c>
      <c r="F11" s="75">
        <f>'Data Sheet'!E64</f>
        <v>1255</v>
      </c>
      <c r="G11" s="75">
        <f>'Data Sheet'!F64</f>
        <v>2709</v>
      </c>
      <c r="H11" s="75">
        <f>'Data Sheet'!G64</f>
        <v>3521</v>
      </c>
      <c r="I11" s="75">
        <f>'Data Sheet'!H64</f>
        <v>2882</v>
      </c>
      <c r="J11" s="75">
        <f>'Data Sheet'!I64</f>
        <v>4625</v>
      </c>
      <c r="K11" s="75">
        <f>'Data Sheet'!J64</f>
        <v>3810</v>
      </c>
      <c r="L11" s="75">
        <f>'Data Sheet'!K64</f>
        <v>4359</v>
      </c>
    </row>
    <row r="12" spans="2:12" ht="15.75" customHeight="1" x14ac:dyDescent="0.3">
      <c r="B12" s="74" t="s">
        <v>220</v>
      </c>
      <c r="C12" s="75">
        <f>'Data Sheet'!B60</f>
        <v>8685</v>
      </c>
      <c r="D12" s="75">
        <f>'Data Sheet'!C60</f>
        <v>10581</v>
      </c>
      <c r="E12" s="75">
        <f>'Data Sheet'!D60</f>
        <v>10663</v>
      </c>
      <c r="F12" s="75">
        <f>'Data Sheet'!E60</f>
        <v>11924</v>
      </c>
      <c r="G12" s="75">
        <f>'Data Sheet'!F60</f>
        <v>21066</v>
      </c>
      <c r="H12" s="75">
        <f>'Data Sheet'!G60</f>
        <v>20402</v>
      </c>
      <c r="I12" s="75">
        <f>'Data Sheet'!H60</f>
        <v>21554</v>
      </c>
      <c r="J12" s="75">
        <f>'Data Sheet'!I60</f>
        <v>25787</v>
      </c>
      <c r="K12" s="75">
        <f>'Data Sheet'!J60</f>
        <v>28813</v>
      </c>
      <c r="L12" s="75">
        <f>'Data Sheet'!K60</f>
        <v>29521</v>
      </c>
    </row>
    <row r="13" spans="2:12" ht="15.75" customHeight="1" x14ac:dyDescent="0.3">
      <c r="B13" s="74" t="s">
        <v>221</v>
      </c>
      <c r="C13" s="75">
        <f>'Data Sheet'!B59</f>
        <v>277</v>
      </c>
      <c r="D13" s="75">
        <f>'Data Sheet'!C59</f>
        <v>0</v>
      </c>
      <c r="E13" s="75">
        <f>'Data Sheet'!D59</f>
        <v>99</v>
      </c>
      <c r="F13" s="75">
        <f>'Data Sheet'!E59</f>
        <v>0</v>
      </c>
      <c r="G13" s="75">
        <f>'Data Sheet'!F59</f>
        <v>0</v>
      </c>
      <c r="H13" s="75">
        <f>'Data Sheet'!G59</f>
        <v>1043</v>
      </c>
      <c r="I13" s="75">
        <f>'Data Sheet'!H59</f>
        <v>1219</v>
      </c>
      <c r="J13" s="75">
        <f>'Data Sheet'!I59</f>
        <v>1484</v>
      </c>
      <c r="K13" s="75">
        <f>'Data Sheet'!J59</f>
        <v>1648</v>
      </c>
      <c r="L13" s="75">
        <f>'Data Sheet'!K59</f>
        <v>1478</v>
      </c>
    </row>
    <row r="14" spans="2:12" ht="15.75" customHeight="1" x14ac:dyDescent="0.3">
      <c r="B14" s="74" t="s">
        <v>222</v>
      </c>
      <c r="C14" s="75">
        <f>SUM('Data Sheet'!B22:B24)</f>
        <v>9902</v>
      </c>
      <c r="D14" s="75">
        <f>SUM('Data Sheet'!C22:C24)</f>
        <v>10592</v>
      </c>
      <c r="E14" s="75">
        <f>SUM('Data Sheet'!D22:D24)</f>
        <v>11224</v>
      </c>
      <c r="F14" s="75">
        <f>SUM('Data Sheet'!E22:E24)</f>
        <v>11128</v>
      </c>
      <c r="G14" s="75">
        <f>SUM('Data Sheet'!F22:F24)</f>
        <v>12459</v>
      </c>
      <c r="H14" s="75">
        <f>SUM('Data Sheet'!G22:G24)</f>
        <v>13068</v>
      </c>
      <c r="I14" s="75">
        <f>SUM('Data Sheet'!H22:H24)</f>
        <v>13906</v>
      </c>
      <c r="J14" s="75">
        <f>SUM('Data Sheet'!I22:I24)</f>
        <v>16595</v>
      </c>
      <c r="K14" s="75">
        <f>SUM('Data Sheet'!J22:J24)</f>
        <v>16063</v>
      </c>
      <c r="L14" s="75">
        <f>SUM('Data Sheet'!K22:K24)</f>
        <v>16970</v>
      </c>
    </row>
    <row r="15" spans="2:12" ht="15.75" customHeight="1" x14ac:dyDescent="0.3">
      <c r="B15" s="74" t="s">
        <v>10</v>
      </c>
      <c r="C15" s="75">
        <f>'Data Sheet'!B26</f>
        <v>432</v>
      </c>
      <c r="D15" s="75">
        <f>'Data Sheet'!C26</f>
        <v>520</v>
      </c>
      <c r="E15" s="75">
        <f>'Data Sheet'!D26</f>
        <v>565</v>
      </c>
      <c r="F15" s="75">
        <f>'Data Sheet'!E26</f>
        <v>1002</v>
      </c>
      <c r="G15" s="75">
        <f>'Data Sheet'!F26</f>
        <v>1074</v>
      </c>
      <c r="H15" s="75">
        <f>'Data Sheet'!G26</f>
        <v>1091</v>
      </c>
      <c r="I15" s="75">
        <f>'Data Sheet'!H26</f>
        <v>1137</v>
      </c>
      <c r="J15" s="75">
        <f>'Data Sheet'!I26</f>
        <v>1216</v>
      </c>
      <c r="K15" s="75">
        <f>'Data Sheet'!J26</f>
        <v>1253</v>
      </c>
      <c r="L15" s="75">
        <f>'Data Sheet'!K26</f>
        <v>1333</v>
      </c>
    </row>
    <row r="16" spans="2:12" ht="15.75" customHeight="1" x14ac:dyDescent="0.3">
      <c r="B16" s="74" t="s">
        <v>125</v>
      </c>
      <c r="C16" s="75">
        <f>'Data Sheet'!B30</f>
        <v>4476</v>
      </c>
      <c r="D16" s="75">
        <f>'Data Sheet'!C30</f>
        <v>5214</v>
      </c>
      <c r="E16" s="75">
        <f>'Data Sheet'!D30</f>
        <v>6054</v>
      </c>
      <c r="F16" s="75">
        <f>'Data Sheet'!E30</f>
        <v>6748</v>
      </c>
      <c r="G16" s="75">
        <f>'Data Sheet'!F30</f>
        <v>7995</v>
      </c>
      <c r="H16" s="75">
        <f>'Data Sheet'!G30</f>
        <v>8879</v>
      </c>
      <c r="I16" s="75">
        <f>'Data Sheet'!H30</f>
        <v>10120</v>
      </c>
      <c r="J16" s="75">
        <f>'Data Sheet'!I30</f>
        <v>10277</v>
      </c>
      <c r="K16" s="75">
        <f>'Data Sheet'!J30</f>
        <v>10649</v>
      </c>
      <c r="L16" s="75">
        <f>'Data Sheet'!K30</f>
        <v>15040</v>
      </c>
    </row>
    <row r="17" spans="2:12" ht="15.75" customHeight="1" x14ac:dyDescent="0.3">
      <c r="B17" s="74" t="s">
        <v>223</v>
      </c>
      <c r="C17" s="75">
        <f>'Data Sheet'!B82</f>
        <v>5185</v>
      </c>
      <c r="D17" s="75">
        <f>'Data Sheet'!C82</f>
        <v>6059</v>
      </c>
      <c r="E17" s="75">
        <f>'Data Sheet'!D82</f>
        <v>5800</v>
      </c>
      <c r="F17" s="75">
        <f>'Data Sheet'!E82</f>
        <v>7623</v>
      </c>
      <c r="G17" s="75">
        <f>'Data Sheet'!F82</f>
        <v>9163</v>
      </c>
      <c r="H17" s="75">
        <f>'Data Sheet'!G82</f>
        <v>9048</v>
      </c>
      <c r="I17" s="75">
        <f>'Data Sheet'!H82</f>
        <v>9991</v>
      </c>
      <c r="J17" s="75">
        <f>'Data Sheet'!I82</f>
        <v>15469</v>
      </c>
      <c r="K17" s="75">
        <f>'Data Sheet'!J82</f>
        <v>11886</v>
      </c>
      <c r="L17" s="75">
        <f>'Data Sheet'!K82</f>
        <v>10999</v>
      </c>
    </row>
    <row r="19" spans="2:12" ht="18.75" customHeight="1" x14ac:dyDescent="0.3">
      <c r="B19" s="356" t="s">
        <v>224</v>
      </c>
      <c r="C19" s="356"/>
      <c r="D19" s="356"/>
      <c r="E19" s="356"/>
      <c r="F19" s="356"/>
      <c r="G19" s="356"/>
      <c r="H19" s="356"/>
      <c r="I19" s="356"/>
      <c r="J19" s="356"/>
      <c r="K19" s="356"/>
      <c r="L19" s="356"/>
    </row>
    <row r="20" spans="2:12" ht="18" customHeight="1" x14ac:dyDescent="0.3">
      <c r="B20" s="72" t="s">
        <v>212</v>
      </c>
      <c r="C20" s="73" t="s">
        <v>178</v>
      </c>
      <c r="D20" s="73" t="s">
        <v>179</v>
      </c>
      <c r="E20" s="73" t="s">
        <v>180</v>
      </c>
      <c r="F20" s="73" t="s">
        <v>181</v>
      </c>
      <c r="G20" s="73" t="s">
        <v>182</v>
      </c>
      <c r="H20" s="73" t="s">
        <v>183</v>
      </c>
      <c r="I20" s="73" t="s">
        <v>184</v>
      </c>
      <c r="J20" s="73" t="s">
        <v>185</v>
      </c>
      <c r="K20" s="73" t="s">
        <v>186</v>
      </c>
    </row>
    <row r="21" spans="2:12" ht="30" customHeight="1" x14ac:dyDescent="0.3">
      <c r="B21" s="74" t="s">
        <v>225</v>
      </c>
      <c r="C21" s="76">
        <f>(D6/D5)/(C6/C5)</f>
        <v>1.1264288209986304</v>
      </c>
      <c r="D21" s="76">
        <f t="shared" ref="D21:K21" si="0">(E6/E5)/(D6/D5)</f>
        <v>1.2534875456587975</v>
      </c>
      <c r="E21" s="76">
        <f t="shared" si="0"/>
        <v>0.62518665411841612</v>
      </c>
      <c r="F21" s="76">
        <f t="shared" si="0"/>
        <v>1.2943146364001581</v>
      </c>
      <c r="G21" s="76">
        <f t="shared" si="0"/>
        <v>1.1405046686082703</v>
      </c>
      <c r="H21" s="76">
        <f t="shared" si="0"/>
        <v>1.1921227921387236</v>
      </c>
      <c r="I21" s="76">
        <f t="shared" si="0"/>
        <v>0.95267274175042349</v>
      </c>
      <c r="J21" s="76">
        <f t="shared" si="0"/>
        <v>1.2860761883720404</v>
      </c>
      <c r="K21" s="76">
        <f t="shared" si="0"/>
        <v>0.84169188119547966</v>
      </c>
    </row>
    <row r="22" spans="2:12" ht="30" customHeight="1" x14ac:dyDescent="0.3">
      <c r="B22" s="74" t="s">
        <v>226</v>
      </c>
      <c r="C22" s="76">
        <f>(C7/C5)/(D7/D5)</f>
        <v>0.98651434002914062</v>
      </c>
      <c r="D22" s="76">
        <f t="shared" ref="D22:K22" si="1">(D7/D5)/(E7/E5)</f>
        <v>0.98608820555058962</v>
      </c>
      <c r="E22" s="76">
        <f t="shared" si="1"/>
        <v>0.98060903103446595</v>
      </c>
      <c r="F22" s="76">
        <f t="shared" si="1"/>
        <v>1.0550389936295919</v>
      </c>
      <c r="G22" s="76">
        <f t="shared" si="1"/>
        <v>1.0029158570870411</v>
      </c>
      <c r="H22" s="76">
        <f t="shared" si="1"/>
        <v>1.0713886765854563</v>
      </c>
      <c r="I22" s="76">
        <f t="shared" si="1"/>
        <v>0.9128184677556842</v>
      </c>
      <c r="J22" s="76">
        <f t="shared" si="1"/>
        <v>1.0142372856312409</v>
      </c>
      <c r="K22" s="76">
        <f t="shared" si="1"/>
        <v>1.0296031069318288</v>
      </c>
    </row>
    <row r="23" spans="2:12" ht="30" customHeight="1" x14ac:dyDescent="0.3">
      <c r="B23" s="74" t="s">
        <v>227</v>
      </c>
      <c r="C23" s="76">
        <f>1</f>
        <v>1</v>
      </c>
      <c r="D23" s="76">
        <f>1</f>
        <v>1</v>
      </c>
      <c r="E23" s="76">
        <f>1</f>
        <v>1</v>
      </c>
      <c r="F23" s="76">
        <f>1</f>
        <v>1</v>
      </c>
      <c r="G23" s="76">
        <f>1</f>
        <v>1</v>
      </c>
      <c r="H23" s="76">
        <f>1</f>
        <v>1</v>
      </c>
      <c r="I23" s="76">
        <f>1</f>
        <v>1</v>
      </c>
      <c r="J23" s="76">
        <f>1</f>
        <v>1</v>
      </c>
      <c r="K23" s="76">
        <f>1</f>
        <v>1</v>
      </c>
    </row>
    <row r="24" spans="2:12" ht="30" customHeight="1" x14ac:dyDescent="0.3">
      <c r="B24" s="74" t="s">
        <v>228</v>
      </c>
      <c r="C24" s="76">
        <f>D5/C5</f>
        <v>1.0718593570954706</v>
      </c>
      <c r="D24" s="76">
        <f t="shared" ref="D24:K24" si="2">E5/D5</f>
        <v>1.1059220706147137</v>
      </c>
      <c r="E24" s="76">
        <f t="shared" si="2"/>
        <v>1.0120325616891377</v>
      </c>
      <c r="F24" s="76">
        <f t="shared" si="2"/>
        <v>1.1821129628233165</v>
      </c>
      <c r="G24" s="76">
        <f t="shared" si="2"/>
        <v>1.1152079612145955</v>
      </c>
      <c r="H24" s="76">
        <f t="shared" si="2"/>
        <v>1.1550928574152461</v>
      </c>
      <c r="I24" s="76">
        <f t="shared" si="2"/>
        <v>1.0217233410366457</v>
      </c>
      <c r="J24" s="76">
        <f t="shared" si="2"/>
        <v>0.99082331653095512</v>
      </c>
      <c r="K24" s="76">
        <f t="shared" si="2"/>
        <v>1.0512001043569006</v>
      </c>
    </row>
    <row r="25" spans="2:12" ht="30" customHeight="1" x14ac:dyDescent="0.3">
      <c r="B25" s="74" t="s">
        <v>229</v>
      </c>
      <c r="C25" s="76">
        <f>(C15/(C10+C15))/(D15/(D10+D15))</f>
        <v>0.90092671108419142</v>
      </c>
      <c r="D25" s="76">
        <f t="shared" ref="D25:K25" si="3">(D15/(D10+D15))/(E15/(E10+E15))</f>
        <v>0.94992425909653866</v>
      </c>
      <c r="E25" s="76">
        <f t="shared" si="3"/>
        <v>0.70191484775787849</v>
      </c>
      <c r="F25" s="76">
        <f t="shared" si="3"/>
        <v>7.020537316825604</v>
      </c>
      <c r="G25" s="76">
        <f t="shared" si="3"/>
        <v>0.99578473788894295</v>
      </c>
      <c r="H25" s="76">
        <f t="shared" si="3"/>
        <v>0.97859922277442624</v>
      </c>
      <c r="I25" s="76">
        <f t="shared" si="3"/>
        <v>0.95269653687812095</v>
      </c>
      <c r="J25" s="76">
        <f t="shared" si="3"/>
        <v>0.98107957174995786</v>
      </c>
      <c r="K25" s="76">
        <f t="shared" si="3"/>
        <v>0.99054093258106124</v>
      </c>
    </row>
    <row r="26" spans="2:12" ht="30" customHeight="1" x14ac:dyDescent="0.3">
      <c r="B26" s="74" t="s">
        <v>230</v>
      </c>
      <c r="C26" s="76">
        <f t="shared" ref="C26:K26" si="4">(D14/D5)/(C14/C5)</f>
        <v>0.99796944931619791</v>
      </c>
      <c r="D26" s="76">
        <f t="shared" si="4"/>
        <v>0.95817571768597432</v>
      </c>
      <c r="E26" s="76">
        <f t="shared" si="4"/>
        <v>0.9796590910536418</v>
      </c>
      <c r="F26" s="76">
        <f t="shared" si="4"/>
        <v>0.94712453949302988</v>
      </c>
      <c r="G26" s="76">
        <f t="shared" si="4"/>
        <v>0.94052442589430441</v>
      </c>
      <c r="H26" s="76">
        <f t="shared" si="4"/>
        <v>0.92124724237482725</v>
      </c>
      <c r="I26" s="76">
        <f t="shared" si="4"/>
        <v>1.1679969718950303</v>
      </c>
      <c r="J26" s="76">
        <f t="shared" si="4"/>
        <v>0.97690691680461295</v>
      </c>
      <c r="K26" s="76">
        <f t="shared" si="4"/>
        <v>1.0050086220698653</v>
      </c>
    </row>
    <row r="27" spans="2:12" ht="30" customHeight="1" x14ac:dyDescent="0.3">
      <c r="B27" s="74" t="s">
        <v>231</v>
      </c>
      <c r="C27" s="76">
        <f>((D13+D12)/D8)/((C13+C12)/C8)</f>
        <v>1.0381432461037861</v>
      </c>
      <c r="D27" s="76">
        <f t="shared" ref="D27:K27" si="5">((E13+E12)/E8)/((D13+D12)/D8)</f>
        <v>0.97522946798013765</v>
      </c>
      <c r="E27" s="76">
        <f t="shared" si="5"/>
        <v>1.024185958646608</v>
      </c>
      <c r="F27" s="76">
        <f t="shared" si="5"/>
        <v>0.51795292453017105</v>
      </c>
      <c r="G27" s="76">
        <f t="shared" si="5"/>
        <v>0.99249293026616525</v>
      </c>
      <c r="H27" s="76">
        <f t="shared" si="5"/>
        <v>1.0245651088930674</v>
      </c>
      <c r="I27" s="76">
        <f t="shared" si="5"/>
        <v>1.1149431699953729</v>
      </c>
      <c r="J27" s="76">
        <f t="shared" si="5"/>
        <v>1.0977571362785987</v>
      </c>
      <c r="K27" s="76">
        <f t="shared" si="5"/>
        <v>1.0192572498082133</v>
      </c>
    </row>
    <row r="28" spans="2:12" ht="30" customHeight="1" x14ac:dyDescent="0.3">
      <c r="B28" s="74" t="s">
        <v>232</v>
      </c>
      <c r="C28" s="76">
        <f>(D16-D17)/D8</f>
        <v>-4.730713245997089E-2</v>
      </c>
      <c r="D28" s="76">
        <f t="shared" ref="D28:K28" si="6">(E16-E17)/E8</f>
        <v>1.3634655644425358E-2</v>
      </c>
      <c r="E28" s="76">
        <f t="shared" si="6"/>
        <v>-4.3417853421326848E-2</v>
      </c>
      <c r="F28" s="76">
        <f t="shared" si="6"/>
        <v>-1.6991562409077683E-2</v>
      </c>
      <c r="G28" s="76">
        <f t="shared" si="6"/>
        <v>-2.3969591240461806E-3</v>
      </c>
      <c r="H28" s="76">
        <f t="shared" si="6"/>
        <v>1.7652612997249477E-3</v>
      </c>
      <c r="I28" s="76">
        <f t="shared" si="6"/>
        <v>-6.6149396730752083E-2</v>
      </c>
      <c r="J28" s="76">
        <f t="shared" si="6"/>
        <v>-1.5489024955235841E-2</v>
      </c>
      <c r="K28" s="76">
        <f t="shared" si="6"/>
        <v>5.0678471995786199E-2</v>
      </c>
    </row>
    <row r="30" spans="2:12" ht="18.75" customHeight="1" x14ac:dyDescent="0.3">
      <c r="B30" s="356" t="s">
        <v>233</v>
      </c>
      <c r="C30" s="356"/>
      <c r="D30" s="356"/>
      <c r="E30" s="356"/>
      <c r="F30" s="356"/>
      <c r="G30" s="356"/>
      <c r="H30" s="356"/>
      <c r="I30" s="356"/>
      <c r="J30" s="356"/>
      <c r="K30" s="356"/>
      <c r="L30" s="356"/>
    </row>
    <row r="31" spans="2:12" ht="18" customHeight="1" x14ac:dyDescent="0.3">
      <c r="B31" s="72" t="s">
        <v>212</v>
      </c>
      <c r="C31" s="73" t="s">
        <v>178</v>
      </c>
      <c r="D31" s="73" t="s">
        <v>179</v>
      </c>
      <c r="E31" s="73" t="s">
        <v>180</v>
      </c>
      <c r="F31" s="73" t="s">
        <v>181</v>
      </c>
      <c r="G31" s="73" t="s">
        <v>182</v>
      </c>
      <c r="H31" s="73" t="s">
        <v>183</v>
      </c>
      <c r="I31" s="73" t="s">
        <v>184</v>
      </c>
      <c r="J31" s="73" t="s">
        <v>185</v>
      </c>
      <c r="K31" s="73" t="s">
        <v>186</v>
      </c>
    </row>
    <row r="32" spans="2:12" ht="30" customHeight="1" x14ac:dyDescent="0.3">
      <c r="B32" s="77" t="s">
        <v>234</v>
      </c>
      <c r="C32" s="78">
        <f>-4.84+0.92*C21+0.528*C22+0.404*C23+0.892*C24+0.115*C25-0.172*C26+4.679*C28-0.327*C27</f>
        <v>-2.5515744543805594</v>
      </c>
      <c r="D32" s="78">
        <f t="shared" ref="D32:K32" si="7">-4.84+0.92*D21+0.528*D22+0.404*D23+0.892*D24+0.115*D25-0.172*D26+4.679*D28-0.327*D27</f>
        <v>-2.086322814389995</v>
      </c>
      <c r="E32" s="78">
        <f t="shared" si="7"/>
        <v>-3.0661757656030484</v>
      </c>
      <c r="F32" s="78">
        <f t="shared" si="7"/>
        <v>-1.238142939228329</v>
      </c>
      <c r="G32" s="78">
        <f t="shared" si="7"/>
        <v>-2.2454461472700542</v>
      </c>
      <c r="H32" s="78">
        <f t="shared" si="7"/>
        <v>-2.1158997292368849</v>
      </c>
      <c r="I32" s="78">
        <f t="shared" si="7"/>
        <v>-2.9316305277265582</v>
      </c>
      <c r="J32" s="78">
        <f t="shared" si="7"/>
        <v>-2.3201217918066139</v>
      </c>
      <c r="K32" s="78">
        <f t="shared" si="7"/>
        <v>-2.3354643617219941</v>
      </c>
    </row>
    <row r="33" spans="2:13" ht="30" customHeight="1" x14ac:dyDescent="0.3">
      <c r="B33" s="77" t="s">
        <v>236</v>
      </c>
      <c r="C33" s="79" t="str">
        <f t="shared" ref="C33:K33" si="8">IF(C32&gt;-1.78,"Flagged — High Risk","Low Risk / Unlikely")</f>
        <v>Low Risk / Unlikely</v>
      </c>
      <c r="D33" s="79" t="str">
        <f t="shared" si="8"/>
        <v>Low Risk / Unlikely</v>
      </c>
      <c r="E33" s="79" t="str">
        <f t="shared" si="8"/>
        <v>Low Risk / Unlikely</v>
      </c>
      <c r="F33" s="79" t="str">
        <f t="shared" si="8"/>
        <v>Flagged — High Risk</v>
      </c>
      <c r="G33" s="79" t="str">
        <f t="shared" si="8"/>
        <v>Low Risk / Unlikely</v>
      </c>
      <c r="H33" s="79" t="str">
        <f t="shared" si="8"/>
        <v>Low Risk / Unlikely</v>
      </c>
      <c r="I33" s="79" t="str">
        <f t="shared" si="8"/>
        <v>Low Risk / Unlikely</v>
      </c>
      <c r="J33" s="79" t="str">
        <f t="shared" si="8"/>
        <v>Low Risk / Unlikely</v>
      </c>
      <c r="K33" s="79" t="str">
        <f t="shared" si="8"/>
        <v>Low Risk / Unlikely</v>
      </c>
    </row>
    <row r="36" spans="2:13" x14ac:dyDescent="0.3">
      <c r="B36" s="364" t="s">
        <v>235</v>
      </c>
      <c r="C36" s="364"/>
      <c r="D36" s="364"/>
      <c r="E36" s="364"/>
      <c r="F36" s="364"/>
      <c r="G36" s="364"/>
      <c r="H36" s="364"/>
      <c r="I36" s="364"/>
      <c r="J36" s="364"/>
      <c r="K36" s="364"/>
      <c r="L36" s="364"/>
      <c r="M36" s="364"/>
    </row>
  </sheetData>
  <mergeCells count="4">
    <mergeCell ref="B3:L3"/>
    <mergeCell ref="B19:L19"/>
    <mergeCell ref="B30:L30"/>
    <mergeCell ref="B36:M36"/>
  </mergeCells>
  <conditionalFormatting sqref="C32:K32">
    <cfRule type="cellIs" dxfId="3" priority="3" operator="greaterThan">
      <formula>-1.78</formula>
    </cfRule>
    <cfRule type="cellIs" dxfId="2" priority="4" operator="lessThanOrEqual">
      <formula>-1.78</formula>
    </cfRule>
  </conditionalFormatting>
  <conditionalFormatting sqref="C33:K33">
    <cfRule type="cellIs" dxfId="1" priority="1" operator="equal">
      <formula>"Flagged — High Risk"</formula>
    </cfRule>
    <cfRule type="cellIs" dxfId="0" priority="2" operator="equal">
      <formula>"Low Risk / Unlikely"</formula>
    </cfRule>
  </conditionalFormatting>
  <pageMargins left="0.7" right="0.7" top="0.75" bottom="0.75" header="0.3" footer="0.3"/>
  <ignoredErrors>
    <ignoredError sqref="C10:L10 C14:L14"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762EC-4E31-4487-86CA-2D03D3B55761}">
  <sheetPr>
    <tabColor rgb="FF808080"/>
  </sheetPr>
  <dimension ref="B2:M213"/>
  <sheetViews>
    <sheetView showGridLines="0" workbookViewId="0">
      <selection activeCell="J14" sqref="J14"/>
    </sheetView>
  </sheetViews>
  <sheetFormatPr defaultRowHeight="14.4" x14ac:dyDescent="0.3"/>
  <cols>
    <col min="1" max="1" width="3.33203125" customWidth="1"/>
    <col min="2" max="2" width="13.88671875" customWidth="1"/>
    <col min="3" max="3" width="10.44140625" bestFit="1" customWidth="1"/>
    <col min="4" max="4" width="13.44140625" bestFit="1" customWidth="1"/>
    <col min="6" max="6" width="16.88671875" customWidth="1"/>
    <col min="7" max="7" width="13.44140625" bestFit="1" customWidth="1"/>
    <col min="9" max="9" width="32.44140625" bestFit="1" customWidth="1"/>
  </cols>
  <sheetData>
    <row r="2" spans="2:13" ht="15" thickBot="1" x14ac:dyDescent="0.35">
      <c r="B2" s="193" t="s">
        <v>578</v>
      </c>
      <c r="C2" s="193"/>
      <c r="D2" s="193"/>
      <c r="E2" s="194"/>
      <c r="F2" s="193" t="s">
        <v>566</v>
      </c>
      <c r="G2" s="193"/>
      <c r="I2" s="365" t="s">
        <v>567</v>
      </c>
      <c r="J2" s="366"/>
    </row>
    <row r="3" spans="2:13" x14ac:dyDescent="0.3">
      <c r="B3" s="19"/>
      <c r="I3" s="195"/>
      <c r="J3" s="196"/>
      <c r="L3" s="197" t="s">
        <v>568</v>
      </c>
      <c r="M3" s="198">
        <f>SLOPE(D5:D212,G5:G212)</f>
        <v>0.44527238374307332</v>
      </c>
    </row>
    <row r="4" spans="2:13" ht="15" thickBot="1" x14ac:dyDescent="0.35">
      <c r="B4" s="199" t="s">
        <v>569</v>
      </c>
      <c r="C4" s="200" t="s">
        <v>49</v>
      </c>
      <c r="D4" s="201" t="s">
        <v>570</v>
      </c>
      <c r="F4" s="202" t="s">
        <v>49</v>
      </c>
      <c r="G4" s="201" t="s">
        <v>570</v>
      </c>
      <c r="I4" s="203" t="s">
        <v>571</v>
      </c>
      <c r="J4" s="204">
        <f>M4</f>
        <v>0.44527238374307326</v>
      </c>
      <c r="L4" s="205" t="s">
        <v>572</v>
      </c>
      <c r="M4" s="206">
        <f>_xlfn.COVARIANCE.S(D5:D212,G5:G212)/_xlfn.VAR.S(G5:G212)</f>
        <v>0.44527238374307326</v>
      </c>
    </row>
    <row r="5" spans="2:13" x14ac:dyDescent="0.3">
      <c r="B5" s="214">
        <v>46243</v>
      </c>
      <c r="C5" s="207">
        <v>2077.1</v>
      </c>
      <c r="D5" s="186">
        <f>C5/C6-1</f>
        <v>-9.0171755725191316E-3</v>
      </c>
      <c r="F5" s="207">
        <v>24318.85</v>
      </c>
      <c r="G5" s="186">
        <f>F5/F6-1</f>
        <v>-1.0247999137182107E-2</v>
      </c>
      <c r="I5" s="203" t="s">
        <v>573</v>
      </c>
      <c r="J5" s="208">
        <v>0.75</v>
      </c>
    </row>
    <row r="6" spans="2:13" x14ac:dyDescent="0.3">
      <c r="B6" s="214">
        <v>46236</v>
      </c>
      <c r="C6" s="207">
        <v>2096</v>
      </c>
      <c r="D6" s="186">
        <f t="shared" ref="D6:D69" si="0">C6/C7-1</f>
        <v>-2.5222481321087731E-3</v>
      </c>
      <c r="F6" s="207">
        <v>24570.65</v>
      </c>
      <c r="G6" s="186">
        <f t="shared" ref="G6:G69" si="1">F6/F7-1</f>
        <v>7.6711396184321323E-3</v>
      </c>
      <c r="I6" s="203"/>
      <c r="J6" s="209"/>
    </row>
    <row r="7" spans="2:13" x14ac:dyDescent="0.3">
      <c r="B7" s="214">
        <v>46229</v>
      </c>
      <c r="C7" s="207">
        <v>2101.3000000000002</v>
      </c>
      <c r="D7" s="186">
        <f t="shared" si="0"/>
        <v>-2.0372960372960325E-2</v>
      </c>
      <c r="F7" s="207">
        <v>24383.599999999999</v>
      </c>
      <c r="G7" s="186">
        <f t="shared" si="1"/>
        <v>2.5924110495656683E-2</v>
      </c>
      <c r="I7" s="203"/>
      <c r="J7" s="209"/>
    </row>
    <row r="8" spans="2:13" x14ac:dyDescent="0.3">
      <c r="B8" s="214">
        <v>46222</v>
      </c>
      <c r="C8" s="207">
        <v>2145</v>
      </c>
      <c r="D8" s="186">
        <f t="shared" si="0"/>
        <v>5.5975370836813809E-4</v>
      </c>
      <c r="F8" s="207">
        <v>23767.45</v>
      </c>
      <c r="G8" s="186">
        <f t="shared" si="1"/>
        <v>-2.3294280090242925E-2</v>
      </c>
      <c r="I8" s="203" t="s">
        <v>574</v>
      </c>
      <c r="J8" s="210">
        <v>1</v>
      </c>
    </row>
    <row r="9" spans="2:13" x14ac:dyDescent="0.3">
      <c r="B9" s="214">
        <v>46215</v>
      </c>
      <c r="C9" s="207">
        <v>2143.8000000000002</v>
      </c>
      <c r="D9" s="186">
        <f t="shared" si="0"/>
        <v>-3.1619083046590113E-3</v>
      </c>
      <c r="F9" s="207">
        <v>24334.3</v>
      </c>
      <c r="G9" s="186">
        <f t="shared" si="1"/>
        <v>5.262962213253175E-3</v>
      </c>
      <c r="I9" s="203" t="s">
        <v>575</v>
      </c>
      <c r="J9" s="211">
        <v>0.25</v>
      </c>
    </row>
    <row r="10" spans="2:13" x14ac:dyDescent="0.3">
      <c r="B10" s="214">
        <v>46208</v>
      </c>
      <c r="C10" s="207">
        <v>2150.6</v>
      </c>
      <c r="D10" s="186">
        <f t="shared" si="0"/>
        <v>-2.2987461384699204E-2</v>
      </c>
      <c r="F10" s="207">
        <v>24206.9</v>
      </c>
      <c r="G10" s="186">
        <f t="shared" si="1"/>
        <v>-2.6348479760699428E-3</v>
      </c>
      <c r="I10" s="195"/>
      <c r="J10" s="210"/>
    </row>
    <row r="11" spans="2:13" x14ac:dyDescent="0.3">
      <c r="B11" s="214">
        <v>46201</v>
      </c>
      <c r="C11" s="207">
        <v>2201.1999999999998</v>
      </c>
      <c r="D11" s="186">
        <f t="shared" si="0"/>
        <v>1.2418360776377479E-2</v>
      </c>
      <c r="F11" s="207">
        <v>24270.85</v>
      </c>
      <c r="G11" s="186">
        <f t="shared" si="1"/>
        <v>8.9312437645492349E-3</v>
      </c>
      <c r="I11" s="212" t="s">
        <v>576</v>
      </c>
      <c r="J11" s="213">
        <f>(J4*J5)+(J8*J9)</f>
        <v>0.58395428780730496</v>
      </c>
    </row>
    <row r="12" spans="2:13" x14ac:dyDescent="0.3">
      <c r="B12" s="214">
        <v>46194</v>
      </c>
      <c r="C12" s="207">
        <v>2174.1999999999998</v>
      </c>
      <c r="D12" s="186">
        <f t="shared" si="0"/>
        <v>-9.2955436070354391E-3</v>
      </c>
      <c r="F12" s="207">
        <v>24056</v>
      </c>
      <c r="G12" s="186">
        <f t="shared" si="1"/>
        <v>1.7865248551833801E-3</v>
      </c>
    </row>
    <row r="13" spans="2:13" x14ac:dyDescent="0.3">
      <c r="B13" s="214">
        <v>46187</v>
      </c>
      <c r="C13" s="207">
        <v>2194.6</v>
      </c>
      <c r="D13" s="186">
        <f t="shared" si="0"/>
        <v>1.1895979343415686E-2</v>
      </c>
      <c r="F13" s="207">
        <v>24013.1</v>
      </c>
      <c r="G13" s="186">
        <f t="shared" si="1"/>
        <v>1.6517870371546062E-2</v>
      </c>
    </row>
    <row r="14" spans="2:13" x14ac:dyDescent="0.3">
      <c r="B14" s="214">
        <v>46180</v>
      </c>
      <c r="C14" s="207">
        <v>2168.8000000000002</v>
      </c>
      <c r="D14" s="186">
        <f t="shared" si="0"/>
        <v>2.2295545604525291E-2</v>
      </c>
      <c r="F14" s="207">
        <v>23622.9</v>
      </c>
      <c r="G14" s="186">
        <f t="shared" si="1"/>
        <v>1.0964321020940027E-2</v>
      </c>
      <c r="I14" s="26" t="s">
        <v>577</v>
      </c>
      <c r="J14" s="26"/>
    </row>
    <row r="15" spans="2:13" x14ac:dyDescent="0.3">
      <c r="B15" s="214">
        <v>46173</v>
      </c>
      <c r="C15" s="207">
        <v>2121.5</v>
      </c>
      <c r="D15" s="186">
        <f t="shared" si="0"/>
        <v>-1.4859530996052972E-2</v>
      </c>
      <c r="F15" s="207">
        <v>23366.7</v>
      </c>
      <c r="G15" s="186">
        <f t="shared" si="1"/>
        <v>-7.6886326719113329E-3</v>
      </c>
    </row>
    <row r="16" spans="2:13" x14ac:dyDescent="0.3">
      <c r="B16" s="214">
        <v>46166</v>
      </c>
      <c r="C16" s="207">
        <v>2153.5</v>
      </c>
      <c r="D16" s="186">
        <f t="shared" si="0"/>
        <v>-2.2735523688509618E-2</v>
      </c>
      <c r="F16" s="207">
        <v>23547.75</v>
      </c>
      <c r="G16" s="186">
        <f t="shared" si="1"/>
        <v>-7.2325068615008981E-3</v>
      </c>
    </row>
    <row r="17" spans="2:7" x14ac:dyDescent="0.3">
      <c r="B17" s="214">
        <v>46159</v>
      </c>
      <c r="C17" s="207">
        <v>2203.6</v>
      </c>
      <c r="D17" s="186">
        <f t="shared" si="0"/>
        <v>-3.0191004313000591E-2</v>
      </c>
      <c r="F17" s="207">
        <v>23719.3</v>
      </c>
      <c r="G17" s="186">
        <f t="shared" si="1"/>
        <v>3.2059551250871454E-3</v>
      </c>
    </row>
    <row r="18" spans="2:7" x14ac:dyDescent="0.3">
      <c r="B18" s="214">
        <v>46152</v>
      </c>
      <c r="C18" s="207">
        <v>2272.1999999999998</v>
      </c>
      <c r="D18" s="186">
        <f t="shared" si="0"/>
        <v>-6.7753639026095769E-3</v>
      </c>
      <c r="F18" s="207">
        <v>23643.5</v>
      </c>
      <c r="G18" s="186">
        <f t="shared" si="1"/>
        <v>-2.2032043977225579E-2</v>
      </c>
    </row>
    <row r="19" spans="2:7" x14ac:dyDescent="0.3">
      <c r="B19" s="214">
        <v>46145</v>
      </c>
      <c r="C19" s="207">
        <v>2287.6999999999998</v>
      </c>
      <c r="D19" s="186">
        <f t="shared" si="0"/>
        <v>1.6349015949175705E-2</v>
      </c>
      <c r="F19" s="207">
        <v>24176.15</v>
      </c>
      <c r="G19" s="186">
        <f t="shared" si="1"/>
        <v>7.4424264143633234E-3</v>
      </c>
    </row>
    <row r="20" spans="2:7" x14ac:dyDescent="0.3">
      <c r="B20" s="214">
        <v>46138</v>
      </c>
      <c r="C20" s="207">
        <v>2250.9</v>
      </c>
      <c r="D20" s="186">
        <f t="shared" si="0"/>
        <v>-3.2827740299918418E-2</v>
      </c>
      <c r="F20" s="207">
        <v>23997.55</v>
      </c>
      <c r="G20" s="186">
        <f t="shared" si="1"/>
        <v>4.167721499124255E-3</v>
      </c>
    </row>
    <row r="21" spans="2:7" x14ac:dyDescent="0.3">
      <c r="B21" s="214">
        <v>46131</v>
      </c>
      <c r="C21" s="207">
        <v>2327.3000000000002</v>
      </c>
      <c r="D21" s="186">
        <f t="shared" si="0"/>
        <v>3.8602284898250572E-2</v>
      </c>
      <c r="F21" s="207">
        <v>23897.95</v>
      </c>
      <c r="G21" s="186">
        <f t="shared" si="1"/>
        <v>-1.8707744866764742E-2</v>
      </c>
    </row>
    <row r="22" spans="2:7" x14ac:dyDescent="0.3">
      <c r="B22" s="214">
        <v>46124</v>
      </c>
      <c r="C22" s="207">
        <v>2240.8000000000002</v>
      </c>
      <c r="D22" s="186">
        <f t="shared" si="0"/>
        <v>3.9669651556627938E-2</v>
      </c>
      <c r="F22" s="207">
        <v>24353.55</v>
      </c>
      <c r="G22" s="186">
        <f t="shared" si="1"/>
        <v>1.2596359342386565E-2</v>
      </c>
    </row>
    <row r="23" spans="2:7" x14ac:dyDescent="0.3">
      <c r="B23" s="214">
        <v>46117</v>
      </c>
      <c r="C23" s="207">
        <v>2155.3000000000002</v>
      </c>
      <c r="D23" s="186">
        <f t="shared" si="0"/>
        <v>4.3577204280249804E-2</v>
      </c>
      <c r="F23" s="207">
        <v>24050.6</v>
      </c>
      <c r="G23" s="186">
        <f t="shared" si="1"/>
        <v>5.8886721759689342E-2</v>
      </c>
    </row>
    <row r="24" spans="2:7" x14ac:dyDescent="0.3">
      <c r="B24" s="214">
        <v>46110</v>
      </c>
      <c r="C24" s="207">
        <v>2065.3000000000002</v>
      </c>
      <c r="D24" s="186">
        <f t="shared" si="0"/>
        <v>-4.3868106440415611E-3</v>
      </c>
      <c r="F24" s="207">
        <v>22713.1</v>
      </c>
      <c r="G24" s="186">
        <f t="shared" si="1"/>
        <v>-4.6670406142088616E-3</v>
      </c>
    </row>
    <row r="25" spans="2:7" x14ac:dyDescent="0.3">
      <c r="B25" s="214">
        <v>46103</v>
      </c>
      <c r="C25" s="207">
        <v>2074.4</v>
      </c>
      <c r="D25" s="186">
        <f t="shared" si="0"/>
        <v>-3.9852115042972036E-3</v>
      </c>
      <c r="F25" s="207">
        <v>22819.599999999999</v>
      </c>
      <c r="G25" s="186">
        <f t="shared" si="1"/>
        <v>-1.275822535637805E-2</v>
      </c>
    </row>
    <row r="26" spans="2:7" x14ac:dyDescent="0.3">
      <c r="B26" s="214">
        <v>46096</v>
      </c>
      <c r="C26" s="207">
        <v>2082.6999999999998</v>
      </c>
      <c r="D26" s="186">
        <f t="shared" si="0"/>
        <v>-3.5787037037037117E-2</v>
      </c>
      <c r="F26" s="207">
        <v>23114.5</v>
      </c>
      <c r="G26" s="186">
        <f t="shared" si="1"/>
        <v>-1.5809184012853805E-3</v>
      </c>
    </row>
    <row r="27" spans="2:7" x14ac:dyDescent="0.3">
      <c r="B27" s="214">
        <v>46089</v>
      </c>
      <c r="C27" s="207">
        <v>2160</v>
      </c>
      <c r="D27" s="186">
        <f t="shared" si="0"/>
        <v>-2.9518803073190325E-2</v>
      </c>
      <c r="F27" s="207">
        <v>23151.1</v>
      </c>
      <c r="G27" s="186">
        <f t="shared" si="1"/>
        <v>-5.3142171207482991E-2</v>
      </c>
    </row>
    <row r="28" spans="2:7" x14ac:dyDescent="0.3">
      <c r="B28" s="214">
        <v>46082</v>
      </c>
      <c r="C28" s="207">
        <v>2225.6999999999998</v>
      </c>
      <c r="D28" s="186">
        <f t="shared" si="0"/>
        <v>-4.8073221846798742E-2</v>
      </c>
      <c r="F28" s="207">
        <v>24450.45</v>
      </c>
      <c r="G28" s="186">
        <f t="shared" si="1"/>
        <v>-2.892132818876314E-2</v>
      </c>
    </row>
    <row r="29" spans="2:7" x14ac:dyDescent="0.3">
      <c r="B29" s="214">
        <v>46075</v>
      </c>
      <c r="C29" s="207">
        <v>2338.1</v>
      </c>
      <c r="D29" s="186">
        <f t="shared" si="0"/>
        <v>1.0196586735796043E-2</v>
      </c>
      <c r="F29" s="207">
        <v>25178.65</v>
      </c>
      <c r="G29" s="186">
        <f t="shared" si="1"/>
        <v>-1.5353179840641329E-2</v>
      </c>
    </row>
    <row r="30" spans="2:7" x14ac:dyDescent="0.3">
      <c r="B30" s="214">
        <v>46068</v>
      </c>
      <c r="C30" s="207">
        <v>2314.5</v>
      </c>
      <c r="D30" s="186">
        <f t="shared" si="0"/>
        <v>4.0343571056742356E-3</v>
      </c>
      <c r="F30" s="207">
        <v>25571.25</v>
      </c>
      <c r="G30" s="186">
        <f t="shared" si="1"/>
        <v>3.9319071418195684E-3</v>
      </c>
    </row>
    <row r="31" spans="2:7" x14ac:dyDescent="0.3">
      <c r="B31" s="214">
        <v>46061</v>
      </c>
      <c r="C31" s="207">
        <v>2305.1999999999998</v>
      </c>
      <c r="D31" s="186">
        <f t="shared" si="0"/>
        <v>-4.9088359046283281E-2</v>
      </c>
      <c r="F31" s="207">
        <v>25471.1</v>
      </c>
      <c r="G31" s="186">
        <f t="shared" si="1"/>
        <v>-8.6636023616685209E-3</v>
      </c>
    </row>
    <row r="32" spans="2:7" x14ac:dyDescent="0.3">
      <c r="B32" s="214">
        <v>46054</v>
      </c>
      <c r="C32" s="207">
        <v>2424.1999999999998</v>
      </c>
      <c r="D32" s="186">
        <f t="shared" si="0"/>
        <v>2.1576064053940192E-2</v>
      </c>
      <c r="F32" s="207">
        <v>25693.7</v>
      </c>
      <c r="G32" s="186">
        <f t="shared" si="1"/>
        <v>1.4733034104574605E-2</v>
      </c>
    </row>
    <row r="33" spans="2:7" x14ac:dyDescent="0.3">
      <c r="B33" s="214">
        <v>46047</v>
      </c>
      <c r="C33" s="207">
        <v>2373</v>
      </c>
      <c r="D33" s="186">
        <f t="shared" si="0"/>
        <v>-1.5148371031334262E-2</v>
      </c>
      <c r="F33" s="207">
        <v>25320.65</v>
      </c>
      <c r="G33" s="186">
        <f t="shared" si="1"/>
        <v>1.0858868641623332E-2</v>
      </c>
    </row>
    <row r="34" spans="2:7" x14ac:dyDescent="0.3">
      <c r="B34" s="214">
        <v>46040</v>
      </c>
      <c r="C34" s="207">
        <v>2409.5</v>
      </c>
      <c r="D34" s="186">
        <f t="shared" si="0"/>
        <v>2.08015590577868E-2</v>
      </c>
      <c r="F34" s="207">
        <v>25048.65</v>
      </c>
      <c r="G34" s="186">
        <f t="shared" si="1"/>
        <v>-2.5130038315816394E-2</v>
      </c>
    </row>
    <row r="35" spans="2:7" x14ac:dyDescent="0.3">
      <c r="B35" s="214">
        <v>46033</v>
      </c>
      <c r="C35" s="207">
        <v>2360.4</v>
      </c>
      <c r="D35" s="186">
        <f t="shared" si="0"/>
        <v>-5.1420382702519474E-3</v>
      </c>
      <c r="F35" s="207">
        <v>25694.35</v>
      </c>
      <c r="G35" s="186">
        <f t="shared" si="1"/>
        <v>4.3024066222008273E-4</v>
      </c>
    </row>
    <row r="36" spans="2:7" x14ac:dyDescent="0.3">
      <c r="B36" s="214">
        <v>46026</v>
      </c>
      <c r="C36" s="207">
        <v>2372.6</v>
      </c>
      <c r="D36" s="186">
        <f t="shared" si="0"/>
        <v>1.0477001703577571E-2</v>
      </c>
      <c r="F36" s="207">
        <v>25683.3</v>
      </c>
      <c r="G36" s="186">
        <f t="shared" si="1"/>
        <v>-2.4507616256877029E-2</v>
      </c>
    </row>
    <row r="37" spans="2:7" x14ac:dyDescent="0.3">
      <c r="B37" s="214">
        <v>46019</v>
      </c>
      <c r="C37" s="207">
        <v>2348</v>
      </c>
      <c r="D37" s="186">
        <f t="shared" si="0"/>
        <v>2.7391266299116035E-2</v>
      </c>
      <c r="F37" s="207">
        <v>26328.55</v>
      </c>
      <c r="G37" s="186">
        <f t="shared" si="1"/>
        <v>1.0991732681061128E-2</v>
      </c>
    </row>
    <row r="38" spans="2:7" x14ac:dyDescent="0.3">
      <c r="B38" s="214">
        <v>46012</v>
      </c>
      <c r="C38" s="207">
        <v>2285.4</v>
      </c>
      <c r="D38" s="186">
        <f t="shared" si="0"/>
        <v>2.3684210526315752E-3</v>
      </c>
      <c r="F38" s="207">
        <v>26042.3</v>
      </c>
      <c r="G38" s="186">
        <f t="shared" si="1"/>
        <v>2.9230081952060782E-3</v>
      </c>
    </row>
    <row r="39" spans="2:7" x14ac:dyDescent="0.3">
      <c r="B39" s="214">
        <v>46005</v>
      </c>
      <c r="C39" s="207">
        <v>2280</v>
      </c>
      <c r="D39" s="186">
        <f t="shared" si="0"/>
        <v>8.5817924444837601E-3</v>
      </c>
      <c r="F39" s="207">
        <v>25966.400000000001</v>
      </c>
      <c r="G39" s="186">
        <f t="shared" si="1"/>
        <v>-3.0924925951022475E-3</v>
      </c>
    </row>
    <row r="40" spans="2:7" x14ac:dyDescent="0.3">
      <c r="B40" s="214">
        <v>45998</v>
      </c>
      <c r="C40" s="207">
        <v>2260.6</v>
      </c>
      <c r="D40" s="186">
        <f t="shared" si="0"/>
        <v>-3.335328829214057E-2</v>
      </c>
      <c r="F40" s="207">
        <v>26046.95</v>
      </c>
      <c r="G40" s="186">
        <f t="shared" si="1"/>
        <v>-5.3271825696113995E-3</v>
      </c>
    </row>
    <row r="41" spans="2:7" x14ac:dyDescent="0.3">
      <c r="B41" s="214">
        <v>45991</v>
      </c>
      <c r="C41" s="207">
        <v>2338.6</v>
      </c>
      <c r="D41" s="186">
        <f t="shared" si="0"/>
        <v>-3.6157488882386124E-2</v>
      </c>
      <c r="F41" s="207">
        <v>26186.45</v>
      </c>
      <c r="G41" s="186">
        <f t="shared" si="1"/>
        <v>-6.297000910202577E-4</v>
      </c>
    </row>
    <row r="42" spans="2:7" x14ac:dyDescent="0.3">
      <c r="B42" s="214">
        <v>45984</v>
      </c>
      <c r="C42" s="207">
        <v>2426.33</v>
      </c>
      <c r="D42" s="186">
        <f t="shared" si="0"/>
        <v>1.3517295538373553E-2</v>
      </c>
      <c r="F42" s="207">
        <v>26202.95</v>
      </c>
      <c r="G42" s="186">
        <f t="shared" si="1"/>
        <v>5.1710612375637233E-3</v>
      </c>
    </row>
    <row r="43" spans="2:7" x14ac:dyDescent="0.3">
      <c r="B43" s="214">
        <v>45977</v>
      </c>
      <c r="C43" s="207">
        <v>2393.9699999999998</v>
      </c>
      <c r="D43" s="186">
        <f t="shared" si="0"/>
        <v>2.4748121906483789E-3</v>
      </c>
      <c r="F43" s="207">
        <v>26068.15</v>
      </c>
      <c r="G43" s="186">
        <f t="shared" si="1"/>
        <v>6.1018793865701415E-3</v>
      </c>
    </row>
    <row r="44" spans="2:7" x14ac:dyDescent="0.3">
      <c r="B44" s="214">
        <v>45970</v>
      </c>
      <c r="C44" s="207">
        <v>2388.06</v>
      </c>
      <c r="D44" s="186">
        <f t="shared" si="0"/>
        <v>-1.0745650372825155E-2</v>
      </c>
      <c r="F44" s="207">
        <v>25910.05</v>
      </c>
      <c r="G44" s="186">
        <f t="shared" si="1"/>
        <v>1.6387301263518728E-2</v>
      </c>
    </row>
    <row r="45" spans="2:7" x14ac:dyDescent="0.3">
      <c r="B45" s="214">
        <v>45963</v>
      </c>
      <c r="C45" s="207">
        <v>2414</v>
      </c>
      <c r="D45" s="186">
        <f t="shared" si="0"/>
        <v>-2.0888257959845835E-2</v>
      </c>
      <c r="F45" s="207">
        <v>25492.3</v>
      </c>
      <c r="G45" s="186">
        <f t="shared" si="1"/>
        <v>-8.9339517379996014E-3</v>
      </c>
    </row>
    <row r="46" spans="2:7" x14ac:dyDescent="0.3">
      <c r="B46" s="214">
        <v>45956</v>
      </c>
      <c r="C46" s="207">
        <v>2465.5</v>
      </c>
      <c r="D46" s="186">
        <f t="shared" si="0"/>
        <v>-2.0227308853918324E-2</v>
      </c>
      <c r="F46" s="207">
        <v>25722.1</v>
      </c>
      <c r="G46" s="186">
        <f t="shared" si="1"/>
        <v>-2.8319277073404203E-3</v>
      </c>
    </row>
    <row r="47" spans="2:7" x14ac:dyDescent="0.3">
      <c r="B47" s="214">
        <v>45949</v>
      </c>
      <c r="C47" s="207">
        <v>2516.4</v>
      </c>
      <c r="D47" s="186">
        <f t="shared" si="0"/>
        <v>-3.3529208434151303E-2</v>
      </c>
      <c r="F47" s="207">
        <v>25795.15</v>
      </c>
      <c r="G47" s="186">
        <f t="shared" si="1"/>
        <v>3.3177945417808274E-3</v>
      </c>
    </row>
    <row r="48" spans="2:7" x14ac:dyDescent="0.3">
      <c r="B48" s="214">
        <v>45942</v>
      </c>
      <c r="C48" s="207">
        <v>2603.6999999999998</v>
      </c>
      <c r="D48" s="186">
        <f t="shared" si="0"/>
        <v>2.9578077424967208E-2</v>
      </c>
      <c r="F48" s="207">
        <v>25709.85</v>
      </c>
      <c r="G48" s="186">
        <f t="shared" si="1"/>
        <v>1.6788377459675319E-2</v>
      </c>
    </row>
    <row r="49" spans="2:7" x14ac:dyDescent="0.3">
      <c r="B49" s="214">
        <v>45935</v>
      </c>
      <c r="C49" s="207">
        <v>2528.9</v>
      </c>
      <c r="D49" s="186">
        <f t="shared" si="0"/>
        <v>-6.2870839718652816E-3</v>
      </c>
      <c r="F49" s="207">
        <v>25285.35</v>
      </c>
      <c r="G49" s="186">
        <f t="shared" si="1"/>
        <v>1.5710455225604214E-2</v>
      </c>
    </row>
    <row r="50" spans="2:7" x14ac:dyDescent="0.3">
      <c r="B50" s="214">
        <v>45928</v>
      </c>
      <c r="C50" s="207">
        <v>2544.9</v>
      </c>
      <c r="D50" s="186">
        <f t="shared" si="0"/>
        <v>1.3177800780316939E-2</v>
      </c>
      <c r="F50" s="207">
        <v>24894.25</v>
      </c>
      <c r="G50" s="186">
        <f t="shared" si="1"/>
        <v>9.7162001565624934E-3</v>
      </c>
    </row>
    <row r="51" spans="2:7" x14ac:dyDescent="0.3">
      <c r="B51" s="214">
        <v>45921</v>
      </c>
      <c r="C51" s="207">
        <v>2511.8000000000002</v>
      </c>
      <c r="D51" s="186">
        <f t="shared" si="0"/>
        <v>-1.8674792936396178E-2</v>
      </c>
      <c r="F51" s="207">
        <v>24654.7</v>
      </c>
      <c r="G51" s="186">
        <f t="shared" si="1"/>
        <v>-2.6546715863079107E-2</v>
      </c>
    </row>
    <row r="52" spans="2:7" x14ac:dyDescent="0.3">
      <c r="B52" s="214">
        <v>45914</v>
      </c>
      <c r="C52" s="207">
        <v>2559.6</v>
      </c>
      <c r="D52" s="186">
        <f t="shared" si="0"/>
        <v>-8.0992055803139618E-3</v>
      </c>
      <c r="F52" s="207">
        <v>25327.05</v>
      </c>
      <c r="G52" s="186">
        <f t="shared" si="1"/>
        <v>8.4833160786812467E-3</v>
      </c>
    </row>
    <row r="53" spans="2:7" x14ac:dyDescent="0.3">
      <c r="B53" s="214">
        <v>45907</v>
      </c>
      <c r="C53" s="207">
        <v>2580.5</v>
      </c>
      <c r="D53" s="186">
        <f t="shared" si="0"/>
        <v>-2.0088099035467488E-2</v>
      </c>
      <c r="F53" s="207">
        <v>25114</v>
      </c>
      <c r="G53" s="186">
        <f t="shared" si="1"/>
        <v>1.5076189321369338E-2</v>
      </c>
    </row>
    <row r="54" spans="2:7" x14ac:dyDescent="0.3">
      <c r="B54" s="214">
        <v>45900</v>
      </c>
      <c r="C54" s="207">
        <v>2633.4</v>
      </c>
      <c r="D54" s="186">
        <f t="shared" si="0"/>
        <v>-9.9255583126550695E-3</v>
      </c>
      <c r="F54" s="207">
        <v>24741</v>
      </c>
      <c r="G54" s="186">
        <f t="shared" si="1"/>
        <v>1.2860847796584585E-2</v>
      </c>
    </row>
    <row r="55" spans="2:7" x14ac:dyDescent="0.3">
      <c r="B55" s="214">
        <v>45893</v>
      </c>
      <c r="C55" s="207">
        <v>2659.8</v>
      </c>
      <c r="D55" s="186">
        <f t="shared" si="0"/>
        <v>1.1369253583786598E-2</v>
      </c>
      <c r="F55" s="207">
        <v>24426.85</v>
      </c>
      <c r="G55" s="186">
        <f t="shared" si="1"/>
        <v>-1.7822606262138052E-2</v>
      </c>
    </row>
    <row r="56" spans="2:7" x14ac:dyDescent="0.3">
      <c r="B56" s="214">
        <v>45886</v>
      </c>
      <c r="C56" s="207">
        <v>2629.9</v>
      </c>
      <c r="D56" s="186">
        <f t="shared" si="0"/>
        <v>6.0187051519793755E-2</v>
      </c>
      <c r="F56" s="207">
        <v>24870.1</v>
      </c>
      <c r="G56" s="186">
        <f t="shared" si="1"/>
        <v>9.6949815884666002E-3</v>
      </c>
    </row>
    <row r="57" spans="2:7" x14ac:dyDescent="0.3">
      <c r="B57" s="214">
        <v>45879</v>
      </c>
      <c r="C57" s="207">
        <v>2480.6</v>
      </c>
      <c r="D57" s="186">
        <f t="shared" si="0"/>
        <v>-7.2040342591851436E-3</v>
      </c>
      <c r="F57" s="207">
        <v>24631.3</v>
      </c>
      <c r="G57" s="186">
        <f t="shared" si="1"/>
        <v>1.100015186776826E-2</v>
      </c>
    </row>
    <row r="58" spans="2:7" x14ac:dyDescent="0.3">
      <c r="B58" s="214">
        <v>45872</v>
      </c>
      <c r="C58" s="207">
        <v>2498.6</v>
      </c>
      <c r="D58" s="186">
        <f t="shared" si="0"/>
        <v>-2.1576536006578606E-2</v>
      </c>
      <c r="F58" s="207">
        <v>24363.3</v>
      </c>
      <c r="G58" s="186">
        <f t="shared" si="1"/>
        <v>-8.2249998473459263E-3</v>
      </c>
    </row>
    <row r="59" spans="2:7" x14ac:dyDescent="0.3">
      <c r="B59" s="214">
        <v>45865</v>
      </c>
      <c r="C59" s="207">
        <v>2553.6999999999998</v>
      </c>
      <c r="D59" s="186">
        <f t="shared" si="0"/>
        <v>5.7257597085368817E-2</v>
      </c>
      <c r="F59" s="207">
        <v>24565.35</v>
      </c>
      <c r="G59" s="186">
        <f t="shared" si="1"/>
        <v>-1.0937311269477057E-2</v>
      </c>
    </row>
    <row r="60" spans="2:7" x14ac:dyDescent="0.3">
      <c r="B60" s="214">
        <v>45858</v>
      </c>
      <c r="C60" s="207">
        <v>2415.4</v>
      </c>
      <c r="D60" s="186">
        <f t="shared" si="0"/>
        <v>-2.980398457583544E-2</v>
      </c>
      <c r="F60" s="207">
        <v>24837</v>
      </c>
      <c r="G60" s="186">
        <f t="shared" si="1"/>
        <v>-5.2626519921180615E-3</v>
      </c>
    </row>
    <row r="61" spans="2:7" x14ac:dyDescent="0.3">
      <c r="B61" s="214">
        <v>45851</v>
      </c>
      <c r="C61" s="207">
        <v>2489.6</v>
      </c>
      <c r="D61" s="186">
        <f t="shared" si="0"/>
        <v>-1.1906651849499905E-2</v>
      </c>
      <c r="F61" s="207">
        <v>24968.400000000001</v>
      </c>
      <c r="G61" s="186">
        <f t="shared" si="1"/>
        <v>-7.214754759968578E-3</v>
      </c>
    </row>
    <row r="62" spans="2:7" x14ac:dyDescent="0.3">
      <c r="B62" s="214">
        <v>45844</v>
      </c>
      <c r="C62" s="207">
        <v>2519.6</v>
      </c>
      <c r="D62" s="186">
        <f t="shared" si="0"/>
        <v>7.7074338477322257E-2</v>
      </c>
      <c r="F62" s="207">
        <v>25149.85</v>
      </c>
      <c r="G62" s="186">
        <f t="shared" si="1"/>
        <v>-1.2220651192019205E-2</v>
      </c>
    </row>
    <row r="63" spans="2:7" x14ac:dyDescent="0.3">
      <c r="B63" s="214">
        <v>45837</v>
      </c>
      <c r="C63" s="207">
        <v>2339.3000000000002</v>
      </c>
      <c r="D63" s="186">
        <f t="shared" si="0"/>
        <v>1.4044822055572448E-2</v>
      </c>
      <c r="F63" s="207">
        <v>25461</v>
      </c>
      <c r="G63" s="186">
        <f t="shared" si="1"/>
        <v>-6.8960675252947023E-3</v>
      </c>
    </row>
    <row r="64" spans="2:7" x14ac:dyDescent="0.3">
      <c r="B64" s="214">
        <v>45830</v>
      </c>
      <c r="C64" s="207">
        <v>2306.9</v>
      </c>
      <c r="D64" s="186">
        <f t="shared" si="0"/>
        <v>3.0352961581825433E-4</v>
      </c>
      <c r="F64" s="207">
        <v>25637.8</v>
      </c>
      <c r="G64" s="186">
        <f t="shared" si="1"/>
        <v>2.092193498032846E-2</v>
      </c>
    </row>
    <row r="65" spans="2:7" x14ac:dyDescent="0.3">
      <c r="B65" s="214">
        <v>45823</v>
      </c>
      <c r="C65" s="207">
        <v>2306.1999999999998</v>
      </c>
      <c r="D65" s="186">
        <f t="shared" si="0"/>
        <v>-5.5196205260888975E-3</v>
      </c>
      <c r="F65" s="207">
        <v>25112.400000000001</v>
      </c>
      <c r="G65" s="186">
        <f t="shared" si="1"/>
        <v>1.5931322971365791E-2</v>
      </c>
    </row>
    <row r="66" spans="2:7" x14ac:dyDescent="0.3">
      <c r="B66" s="214">
        <v>45816</v>
      </c>
      <c r="C66" s="207">
        <v>2319</v>
      </c>
      <c r="D66" s="186">
        <f t="shared" si="0"/>
        <v>-2.9625910118001531E-2</v>
      </c>
      <c r="F66" s="207">
        <v>24718.6</v>
      </c>
      <c r="G66" s="186">
        <f t="shared" si="1"/>
        <v>-1.1376612053329516E-2</v>
      </c>
    </row>
    <row r="67" spans="2:7" x14ac:dyDescent="0.3">
      <c r="B67" s="214">
        <v>45809</v>
      </c>
      <c r="C67" s="207">
        <v>2389.8000000000002</v>
      </c>
      <c r="D67" s="186">
        <f t="shared" si="0"/>
        <v>1.7672358727590209E-2</v>
      </c>
      <c r="F67" s="207">
        <v>25003.05</v>
      </c>
      <c r="G67" s="186">
        <f t="shared" si="1"/>
        <v>1.0195671233540704E-2</v>
      </c>
    </row>
    <row r="68" spans="2:7" x14ac:dyDescent="0.3">
      <c r="B68" s="214">
        <v>45802</v>
      </c>
      <c r="C68" s="207">
        <v>2348.3000000000002</v>
      </c>
      <c r="D68" s="186">
        <f t="shared" si="0"/>
        <v>-4.6202102407594259E-3</v>
      </c>
      <c r="F68" s="207">
        <v>24750.7</v>
      </c>
      <c r="G68" s="186">
        <f t="shared" si="1"/>
        <v>-4.1222138843567402E-3</v>
      </c>
    </row>
    <row r="69" spans="2:7" x14ac:dyDescent="0.3">
      <c r="B69" s="214">
        <v>45795</v>
      </c>
      <c r="C69" s="207">
        <v>2359.1999999999998</v>
      </c>
      <c r="D69" s="186">
        <f t="shared" si="0"/>
        <v>-9.3222474174856629E-3</v>
      </c>
      <c r="F69" s="207">
        <v>24853.15</v>
      </c>
      <c r="G69" s="186">
        <f t="shared" si="1"/>
        <v>-6.660724706032739E-3</v>
      </c>
    </row>
    <row r="70" spans="2:7" x14ac:dyDescent="0.3">
      <c r="B70" s="214">
        <v>45788</v>
      </c>
      <c r="C70" s="207">
        <v>2381.4</v>
      </c>
      <c r="D70" s="186">
        <f t="shared" ref="D70:D133" si="2">C70/C71-1</f>
        <v>2.0789575206824118E-2</v>
      </c>
      <c r="F70" s="207">
        <v>25019.8</v>
      </c>
      <c r="G70" s="186">
        <f t="shared" ref="G70:G133" si="3">F70/F71-1</f>
        <v>4.2144285238253865E-2</v>
      </c>
    </row>
    <row r="71" spans="2:7" x14ac:dyDescent="0.3">
      <c r="B71" s="214">
        <v>45781</v>
      </c>
      <c r="C71" s="207">
        <v>2332.9</v>
      </c>
      <c r="D71" s="186">
        <f t="shared" si="2"/>
        <v>3.8728000344248059E-3</v>
      </c>
      <c r="F71" s="207">
        <v>24008</v>
      </c>
      <c r="G71" s="186">
        <f t="shared" si="3"/>
        <v>-1.391153626569519E-2</v>
      </c>
    </row>
    <row r="72" spans="2:7" x14ac:dyDescent="0.3">
      <c r="B72" s="214">
        <v>45774</v>
      </c>
      <c r="C72" s="207">
        <v>2323.9</v>
      </c>
      <c r="D72" s="186">
        <f t="shared" si="2"/>
        <v>-3.5588714518479669E-3</v>
      </c>
      <c r="F72" s="207">
        <v>24346.7</v>
      </c>
      <c r="G72" s="186">
        <f t="shared" si="3"/>
        <v>1.2785287455775673E-2</v>
      </c>
    </row>
    <row r="73" spans="2:7" x14ac:dyDescent="0.3">
      <c r="B73" s="214">
        <v>45767</v>
      </c>
      <c r="C73" s="207">
        <v>2332.1999999999998</v>
      </c>
      <c r="D73" s="186">
        <f t="shared" si="2"/>
        <v>-1.8021052631579049E-2</v>
      </c>
      <c r="F73" s="207">
        <v>24039.35</v>
      </c>
      <c r="G73" s="186">
        <f t="shared" si="3"/>
        <v>7.86947653516612E-3</v>
      </c>
    </row>
    <row r="74" spans="2:7" x14ac:dyDescent="0.3">
      <c r="B74" s="214">
        <v>45760</v>
      </c>
      <c r="C74" s="207">
        <v>2375</v>
      </c>
      <c r="D74" s="186">
        <f t="shared" si="2"/>
        <v>3.740253153857509E-3</v>
      </c>
      <c r="F74" s="207">
        <v>23851.65</v>
      </c>
      <c r="G74" s="186">
        <f t="shared" si="3"/>
        <v>4.4816687875489425E-2</v>
      </c>
    </row>
    <row r="75" spans="2:7" x14ac:dyDescent="0.3">
      <c r="B75" s="214">
        <v>45753</v>
      </c>
      <c r="C75" s="207">
        <v>2366.15</v>
      </c>
      <c r="D75" s="186">
        <f t="shared" si="2"/>
        <v>5.417566995611578E-2</v>
      </c>
      <c r="F75" s="207">
        <v>22828.55</v>
      </c>
      <c r="G75" s="186">
        <f t="shared" si="3"/>
        <v>-3.3137665388167648E-3</v>
      </c>
    </row>
    <row r="76" spans="2:7" x14ac:dyDescent="0.3">
      <c r="B76" s="214">
        <v>45746</v>
      </c>
      <c r="C76" s="207">
        <v>2244.5500000000002</v>
      </c>
      <c r="D76" s="186">
        <f t="shared" si="2"/>
        <v>-6.3306549793035183E-3</v>
      </c>
      <c r="F76" s="207">
        <v>22904.45</v>
      </c>
      <c r="G76" s="186">
        <f t="shared" si="3"/>
        <v>-2.6144430011883713E-2</v>
      </c>
    </row>
    <row r="77" spans="2:7" x14ac:dyDescent="0.3">
      <c r="B77" s="214">
        <v>45739</v>
      </c>
      <c r="C77" s="207">
        <v>2258.85</v>
      </c>
      <c r="D77" s="186">
        <f t="shared" si="2"/>
        <v>5.631733594515298E-3</v>
      </c>
      <c r="F77" s="207">
        <v>23519.35</v>
      </c>
      <c r="G77" s="186">
        <f t="shared" si="3"/>
        <v>7.2354220912702605E-3</v>
      </c>
    </row>
    <row r="78" spans="2:7" x14ac:dyDescent="0.3">
      <c r="B78" s="214">
        <v>45732</v>
      </c>
      <c r="C78" s="207">
        <v>2246.1999999999998</v>
      </c>
      <c r="D78" s="186">
        <f t="shared" si="2"/>
        <v>3.2830605113113753E-2</v>
      </c>
      <c r="F78" s="207">
        <v>23350.400000000001</v>
      </c>
      <c r="G78" s="186">
        <f t="shared" si="3"/>
        <v>4.2558891289982803E-2</v>
      </c>
    </row>
    <row r="79" spans="2:7" x14ac:dyDescent="0.3">
      <c r="B79" s="214">
        <v>45725</v>
      </c>
      <c r="C79" s="207">
        <v>2174.8000000000002</v>
      </c>
      <c r="D79" s="186">
        <f t="shared" si="2"/>
        <v>-1.3494817536458648E-2</v>
      </c>
      <c r="F79" s="207">
        <v>22397.200000000001</v>
      </c>
      <c r="G79" s="186">
        <f t="shared" si="3"/>
        <v>-6.8861545283227521E-3</v>
      </c>
    </row>
    <row r="80" spans="2:7" x14ac:dyDescent="0.3">
      <c r="B80" s="214">
        <v>45718</v>
      </c>
      <c r="C80" s="207">
        <v>2204.5500000000002</v>
      </c>
      <c r="D80" s="186">
        <f t="shared" si="2"/>
        <v>6.5289350530761681E-3</v>
      </c>
      <c r="F80" s="207">
        <v>22552.5</v>
      </c>
      <c r="G80" s="186">
        <f t="shared" si="3"/>
        <v>1.9335855401429125E-2</v>
      </c>
    </row>
    <row r="81" spans="2:7" x14ac:dyDescent="0.3">
      <c r="B81" s="214">
        <v>45711</v>
      </c>
      <c r="C81" s="207">
        <v>2190.25</v>
      </c>
      <c r="D81" s="186">
        <f t="shared" si="2"/>
        <v>-2.2929538509580016E-2</v>
      </c>
      <c r="F81" s="207">
        <v>22124.7</v>
      </c>
      <c r="G81" s="186">
        <f t="shared" si="3"/>
        <v>-2.9443891226053842E-2</v>
      </c>
    </row>
    <row r="82" spans="2:7" x14ac:dyDescent="0.3">
      <c r="B82" s="214">
        <v>45704</v>
      </c>
      <c r="C82" s="207">
        <v>2241.65</v>
      </c>
      <c r="D82" s="186">
        <f t="shared" si="2"/>
        <v>-3.3083874307157979E-2</v>
      </c>
      <c r="F82" s="207">
        <v>22795.9</v>
      </c>
      <c r="G82" s="186">
        <f t="shared" si="3"/>
        <v>-5.8157157342695331E-3</v>
      </c>
    </row>
    <row r="83" spans="2:7" x14ac:dyDescent="0.3">
      <c r="B83" s="214">
        <v>45697</v>
      </c>
      <c r="C83" s="207">
        <v>2318.35</v>
      </c>
      <c r="D83" s="186">
        <f t="shared" si="2"/>
        <v>-1.9248260253400207E-2</v>
      </c>
      <c r="F83" s="207">
        <v>22929.25</v>
      </c>
      <c r="G83" s="186">
        <f t="shared" si="3"/>
        <v>-2.6770005878620329E-2</v>
      </c>
    </row>
    <row r="84" spans="2:7" x14ac:dyDescent="0.3">
      <c r="B84" s="214">
        <v>45690</v>
      </c>
      <c r="C84" s="207">
        <v>2363.85</v>
      </c>
      <c r="D84" s="186">
        <f t="shared" si="2"/>
        <v>-4.2510531432274901E-2</v>
      </c>
      <c r="F84" s="207">
        <v>23559.95</v>
      </c>
      <c r="G84" s="186">
        <f t="shared" si="3"/>
        <v>2.1928332000475947E-3</v>
      </c>
    </row>
    <row r="85" spans="2:7" x14ac:dyDescent="0.3">
      <c r="B85" s="214">
        <v>45683</v>
      </c>
      <c r="C85" s="207">
        <v>2468.8000000000002</v>
      </c>
      <c r="D85" s="186">
        <f t="shared" si="2"/>
        <v>4.2523542080148857E-2</v>
      </c>
      <c r="F85" s="207">
        <v>23508.400000000001</v>
      </c>
      <c r="G85" s="186">
        <f t="shared" si="3"/>
        <v>1.8023401841314346E-2</v>
      </c>
    </row>
    <row r="86" spans="2:7" x14ac:dyDescent="0.3">
      <c r="B86" s="214">
        <v>45676</v>
      </c>
      <c r="C86" s="207">
        <v>2368.1</v>
      </c>
      <c r="D86" s="186">
        <f t="shared" si="2"/>
        <v>5.98980458793541E-3</v>
      </c>
      <c r="F86" s="207">
        <v>23092.2</v>
      </c>
      <c r="G86" s="186">
        <f t="shared" si="3"/>
        <v>-4.7838229209764549E-3</v>
      </c>
    </row>
    <row r="87" spans="2:7" x14ac:dyDescent="0.3">
      <c r="B87" s="214">
        <v>45669</v>
      </c>
      <c r="C87" s="207">
        <v>2354</v>
      </c>
      <c r="D87" s="186">
        <f t="shared" si="2"/>
        <v>-3.6055772813824549E-2</v>
      </c>
      <c r="F87" s="207">
        <v>23203.200000000001</v>
      </c>
      <c r="G87" s="186">
        <f t="shared" si="3"/>
        <v>-9.7432942833365344E-3</v>
      </c>
    </row>
    <row r="88" spans="2:7" x14ac:dyDescent="0.3">
      <c r="B88" s="214">
        <v>45662</v>
      </c>
      <c r="C88" s="207">
        <v>2442.0500000000002</v>
      </c>
      <c r="D88" s="186">
        <f t="shared" si="2"/>
        <v>1.4877922077922046E-2</v>
      </c>
      <c r="F88" s="207">
        <v>23431.5</v>
      </c>
      <c r="G88" s="186">
        <f t="shared" si="3"/>
        <v>-2.3880690280048689E-2</v>
      </c>
    </row>
    <row r="89" spans="2:7" x14ac:dyDescent="0.3">
      <c r="B89" s="214">
        <v>45655</v>
      </c>
      <c r="C89" s="207">
        <v>2406.25</v>
      </c>
      <c r="D89" s="186">
        <f t="shared" si="2"/>
        <v>2.7762947143619821E-2</v>
      </c>
      <c r="F89" s="207">
        <v>24004.75</v>
      </c>
      <c r="G89" s="186">
        <f t="shared" si="3"/>
        <v>8.035391838208783E-3</v>
      </c>
    </row>
    <row r="90" spans="2:7" x14ac:dyDescent="0.3">
      <c r="B90" s="214">
        <v>45648</v>
      </c>
      <c r="C90" s="207">
        <v>2341.25</v>
      </c>
      <c r="D90" s="186">
        <f t="shared" si="2"/>
        <v>3.1492351857405065E-3</v>
      </c>
      <c r="F90" s="207">
        <v>23813.4</v>
      </c>
      <c r="G90" s="186">
        <f t="shared" si="3"/>
        <v>9.5771065182830295E-3</v>
      </c>
    </row>
    <row r="91" spans="2:7" x14ac:dyDescent="0.3">
      <c r="B91" s="214">
        <v>45641</v>
      </c>
      <c r="C91" s="207">
        <v>2333.9</v>
      </c>
      <c r="D91" s="186">
        <f t="shared" si="2"/>
        <v>-2.3513660516296331E-2</v>
      </c>
      <c r="F91" s="207">
        <v>23587.5</v>
      </c>
      <c r="G91" s="186">
        <f t="shared" si="3"/>
        <v>-4.7673841159869612E-2</v>
      </c>
    </row>
    <row r="92" spans="2:7" x14ac:dyDescent="0.3">
      <c r="B92" s="214">
        <v>45634</v>
      </c>
      <c r="C92" s="207">
        <v>2390.1</v>
      </c>
      <c r="D92" s="186">
        <f t="shared" si="2"/>
        <v>-3.7724454464932888E-2</v>
      </c>
      <c r="F92" s="207">
        <v>24768.3</v>
      </c>
      <c r="G92" s="186">
        <f t="shared" si="3"/>
        <v>3.6672636944945491E-3</v>
      </c>
    </row>
    <row r="93" spans="2:7" x14ac:dyDescent="0.3">
      <c r="B93" s="214">
        <v>45627</v>
      </c>
      <c r="C93" s="207">
        <v>2483.8000000000002</v>
      </c>
      <c r="D93" s="186">
        <f t="shared" si="2"/>
        <v>-4.9476193337739671E-3</v>
      </c>
      <c r="F93" s="207">
        <v>24677.8</v>
      </c>
      <c r="G93" s="186">
        <f t="shared" si="3"/>
        <v>2.2655411481449228E-2</v>
      </c>
    </row>
    <row r="94" spans="2:7" x14ac:dyDescent="0.3">
      <c r="B94" s="214">
        <v>45620</v>
      </c>
      <c r="C94" s="207">
        <v>2496.15</v>
      </c>
      <c r="D94" s="186">
        <f t="shared" si="2"/>
        <v>2.0815867498210849E-2</v>
      </c>
      <c r="F94" s="207">
        <v>24131.1</v>
      </c>
      <c r="G94" s="186">
        <f t="shared" si="3"/>
        <v>9.3632684645870157E-3</v>
      </c>
    </row>
    <row r="95" spans="2:7" x14ac:dyDescent="0.3">
      <c r="B95" s="214">
        <v>45613</v>
      </c>
      <c r="C95" s="207">
        <v>2445.25</v>
      </c>
      <c r="D95" s="186">
        <f t="shared" si="2"/>
        <v>2.3459735476310195E-2</v>
      </c>
      <c r="F95" s="207">
        <v>23907.25</v>
      </c>
      <c r="G95" s="186">
        <f t="shared" si="3"/>
        <v>1.5916150717937061E-2</v>
      </c>
    </row>
    <row r="96" spans="2:7" x14ac:dyDescent="0.3">
      <c r="B96" s="214">
        <v>45606</v>
      </c>
      <c r="C96" s="207">
        <v>2389.1999999999998</v>
      </c>
      <c r="D96" s="186">
        <f t="shared" si="2"/>
        <v>-4.7254456274674062E-2</v>
      </c>
      <c r="F96" s="207">
        <v>23532.7</v>
      </c>
      <c r="G96" s="186">
        <f t="shared" si="3"/>
        <v>-2.5488442202731498E-2</v>
      </c>
    </row>
    <row r="97" spans="2:7" x14ac:dyDescent="0.3">
      <c r="B97" s="214">
        <v>45599</v>
      </c>
      <c r="C97" s="207">
        <v>2507.6999999999998</v>
      </c>
      <c r="D97" s="186">
        <f t="shared" si="2"/>
        <v>-7.8102744278797376E-3</v>
      </c>
      <c r="F97" s="207">
        <v>24148.2</v>
      </c>
      <c r="G97" s="186">
        <f t="shared" si="3"/>
        <v>-6.4247758117372822E-3</v>
      </c>
    </row>
    <row r="98" spans="2:7" x14ac:dyDescent="0.3">
      <c r="B98" s="214">
        <v>45592</v>
      </c>
      <c r="C98" s="207">
        <v>2527.44</v>
      </c>
      <c r="D98" s="186">
        <f t="shared" si="2"/>
        <v>3.7410346224415747E-3</v>
      </c>
      <c r="F98" s="207">
        <v>24304.35</v>
      </c>
      <c r="G98" s="186">
        <f t="shared" si="3"/>
        <v>5.1094256600276999E-3</v>
      </c>
    </row>
    <row r="99" spans="2:7" x14ac:dyDescent="0.3">
      <c r="B99" s="214">
        <v>45585</v>
      </c>
      <c r="C99" s="207">
        <v>2518.02</v>
      </c>
      <c r="D99" s="186">
        <f t="shared" si="2"/>
        <v>-6.9577876969464159E-2</v>
      </c>
      <c r="F99" s="207">
        <v>24180.799999999999</v>
      </c>
      <c r="G99" s="186">
        <f t="shared" si="3"/>
        <v>-2.7088140564616281E-2</v>
      </c>
    </row>
    <row r="100" spans="2:7" x14ac:dyDescent="0.3">
      <c r="B100" s="214">
        <v>45578</v>
      </c>
      <c r="C100" s="207">
        <v>2706.32</v>
      </c>
      <c r="D100" s="186">
        <f t="shared" si="2"/>
        <v>-2.3750432875447203E-2</v>
      </c>
      <c r="F100" s="207">
        <v>24854.05</v>
      </c>
      <c r="G100" s="186">
        <f t="shared" si="3"/>
        <v>-4.4143124668275524E-3</v>
      </c>
    </row>
    <row r="101" spans="2:7" x14ac:dyDescent="0.3">
      <c r="B101" s="214">
        <v>45571</v>
      </c>
      <c r="C101" s="207">
        <v>2772.16</v>
      </c>
      <c r="D101" s="186">
        <f t="shared" si="2"/>
        <v>-2.301009709422186E-2</v>
      </c>
      <c r="F101" s="207">
        <v>24964.25</v>
      </c>
      <c r="G101" s="186">
        <f t="shared" si="3"/>
        <v>-2.0128245104857889E-3</v>
      </c>
    </row>
    <row r="102" spans="2:7" x14ac:dyDescent="0.3">
      <c r="B102" s="214">
        <v>45564</v>
      </c>
      <c r="C102" s="207">
        <v>2837.45</v>
      </c>
      <c r="D102" s="186">
        <f t="shared" si="2"/>
        <v>-3.9614281991138922E-2</v>
      </c>
      <c r="F102" s="207">
        <v>25014.6</v>
      </c>
      <c r="G102" s="186">
        <f t="shared" si="3"/>
        <v>-4.4476573735768743E-2</v>
      </c>
    </row>
    <row r="103" spans="2:7" x14ac:dyDescent="0.3">
      <c r="B103" s="214">
        <v>45557</v>
      </c>
      <c r="C103" s="207">
        <v>2954.49</v>
      </c>
      <c r="D103" s="186">
        <f t="shared" si="2"/>
        <v>-3.8101146743364511E-3</v>
      </c>
      <c r="F103" s="207">
        <v>26178.95</v>
      </c>
      <c r="G103" s="186">
        <f t="shared" si="3"/>
        <v>1.5044036764834123E-2</v>
      </c>
    </row>
    <row r="104" spans="2:7" x14ac:dyDescent="0.3">
      <c r="B104" s="214">
        <v>45550</v>
      </c>
      <c r="C104" s="207">
        <v>2965.79</v>
      </c>
      <c r="D104" s="186">
        <f t="shared" si="2"/>
        <v>1.5222570618761422E-2</v>
      </c>
      <c r="F104" s="207">
        <v>25790.95</v>
      </c>
      <c r="G104" s="186">
        <f t="shared" si="3"/>
        <v>1.7133673811448702E-2</v>
      </c>
    </row>
    <row r="105" spans="2:7" x14ac:dyDescent="0.3">
      <c r="B105" s="214">
        <v>45543</v>
      </c>
      <c r="C105" s="207">
        <v>2921.32</v>
      </c>
      <c r="D105" s="186">
        <f t="shared" si="2"/>
        <v>3.3111833333922869E-2</v>
      </c>
      <c r="F105" s="207">
        <v>25356.5</v>
      </c>
      <c r="G105" s="186">
        <f t="shared" si="3"/>
        <v>2.0294018827344829E-2</v>
      </c>
    </row>
    <row r="106" spans="2:7" x14ac:dyDescent="0.3">
      <c r="B106" s="214">
        <v>45536</v>
      </c>
      <c r="C106" s="207">
        <v>2827.69</v>
      </c>
      <c r="D106" s="186">
        <f t="shared" si="2"/>
        <v>2.1940888622252519E-2</v>
      </c>
      <c r="F106" s="207">
        <v>24852.15</v>
      </c>
      <c r="G106" s="186">
        <f t="shared" si="3"/>
        <v>-1.5206511358818231E-2</v>
      </c>
    </row>
    <row r="107" spans="2:7" x14ac:dyDescent="0.3">
      <c r="B107" s="214">
        <v>45529</v>
      </c>
      <c r="C107" s="207">
        <v>2766.98</v>
      </c>
      <c r="D107" s="186">
        <f t="shared" si="2"/>
        <v>-1.3353872266378519E-2</v>
      </c>
      <c r="F107" s="207">
        <v>25235.9</v>
      </c>
      <c r="G107" s="186">
        <f t="shared" si="3"/>
        <v>1.6627623810837822E-2</v>
      </c>
    </row>
    <row r="108" spans="2:7" x14ac:dyDescent="0.3">
      <c r="B108" s="214">
        <v>45522</v>
      </c>
      <c r="C108" s="207">
        <v>2804.43</v>
      </c>
      <c r="D108" s="186">
        <f t="shared" si="2"/>
        <v>2.4505452353553503E-2</v>
      </c>
      <c r="F108" s="207">
        <v>24823.15</v>
      </c>
      <c r="G108" s="186">
        <f t="shared" si="3"/>
        <v>1.1490904052988471E-2</v>
      </c>
    </row>
    <row r="109" spans="2:7" x14ac:dyDescent="0.3">
      <c r="B109" s="214">
        <v>45515</v>
      </c>
      <c r="C109" s="207">
        <v>2737.35</v>
      </c>
      <c r="D109" s="186">
        <f t="shared" si="2"/>
        <v>3.8372985418244632E-4</v>
      </c>
      <c r="F109" s="207">
        <v>24541.15</v>
      </c>
      <c r="G109" s="186">
        <f t="shared" si="3"/>
        <v>7.1262952703396998E-3</v>
      </c>
    </row>
    <row r="110" spans="2:7" x14ac:dyDescent="0.3">
      <c r="B110" s="214">
        <v>45508</v>
      </c>
      <c r="C110" s="207">
        <v>2736.3</v>
      </c>
      <c r="D110" s="186">
        <f t="shared" si="2"/>
        <v>2.0295540052277072E-2</v>
      </c>
      <c r="F110" s="207">
        <v>24367.5</v>
      </c>
      <c r="G110" s="186">
        <f t="shared" si="3"/>
        <v>-1.4167984885325113E-2</v>
      </c>
    </row>
    <row r="111" spans="2:7" x14ac:dyDescent="0.3">
      <c r="B111" s="214">
        <v>45501</v>
      </c>
      <c r="C111" s="207">
        <v>2681.87</v>
      </c>
      <c r="D111" s="186">
        <f t="shared" si="2"/>
        <v>-6.8251675739733342E-3</v>
      </c>
      <c r="F111" s="207">
        <v>24717.7</v>
      </c>
      <c r="G111" s="186">
        <f t="shared" si="3"/>
        <v>-4.7171615693268887E-3</v>
      </c>
    </row>
    <row r="112" spans="2:7" x14ac:dyDescent="0.3">
      <c r="B112" s="214">
        <v>45494</v>
      </c>
      <c r="C112" s="207">
        <v>2700.3</v>
      </c>
      <c r="D112" s="186">
        <f t="shared" si="2"/>
        <v>-5.8501062149554084E-3</v>
      </c>
      <c r="F112" s="207">
        <v>24834.85</v>
      </c>
      <c r="G112" s="186">
        <f t="shared" si="3"/>
        <v>1.2390495252925682E-2</v>
      </c>
    </row>
    <row r="113" spans="2:7" x14ac:dyDescent="0.3">
      <c r="B113" s="214">
        <v>45487</v>
      </c>
      <c r="C113" s="207">
        <v>2716.19</v>
      </c>
      <c r="D113" s="186">
        <f t="shared" si="2"/>
        <v>3.9948695369182774E-2</v>
      </c>
      <c r="F113" s="207">
        <v>24530.9</v>
      </c>
      <c r="G113" s="186">
        <f t="shared" si="3"/>
        <v>1.1733664188653403E-3</v>
      </c>
    </row>
    <row r="114" spans="2:7" x14ac:dyDescent="0.3">
      <c r="B114" s="214">
        <v>45480</v>
      </c>
      <c r="C114" s="207">
        <v>2611.85</v>
      </c>
      <c r="D114" s="186">
        <f t="shared" si="2"/>
        <v>2.9543931570026327E-2</v>
      </c>
      <c r="F114" s="207">
        <v>24502.15</v>
      </c>
      <c r="G114" s="186">
        <f t="shared" si="3"/>
        <v>7.3302540510651326E-3</v>
      </c>
    </row>
    <row r="115" spans="2:7" x14ac:dyDescent="0.3">
      <c r="B115" s="214">
        <v>45473</v>
      </c>
      <c r="C115" s="207">
        <v>2536.9</v>
      </c>
      <c r="D115" s="186">
        <f t="shared" si="2"/>
        <v>2.9903704064565551E-2</v>
      </c>
      <c r="F115" s="207">
        <v>24323.85</v>
      </c>
      <c r="G115" s="186">
        <f t="shared" si="3"/>
        <v>1.3046321208133094E-2</v>
      </c>
    </row>
    <row r="116" spans="2:7" x14ac:dyDescent="0.3">
      <c r="B116" s="214">
        <v>45466</v>
      </c>
      <c r="C116" s="207">
        <v>2463.2399999999998</v>
      </c>
      <c r="D116" s="186">
        <f t="shared" si="2"/>
        <v>1.3003676561304855E-2</v>
      </c>
      <c r="F116" s="207">
        <v>24010.6</v>
      </c>
      <c r="G116" s="186">
        <f t="shared" si="3"/>
        <v>2.1679836262983532E-2</v>
      </c>
    </row>
    <row r="117" spans="2:7" x14ac:dyDescent="0.3">
      <c r="B117" s="214">
        <v>45459</v>
      </c>
      <c r="C117" s="207">
        <v>2431.62</v>
      </c>
      <c r="D117" s="186">
        <f t="shared" si="2"/>
        <v>-1.550657511174458E-2</v>
      </c>
      <c r="F117" s="207">
        <v>23501.1</v>
      </c>
      <c r="G117" s="186">
        <f t="shared" si="3"/>
        <v>1.5128528569481325E-3</v>
      </c>
    </row>
    <row r="118" spans="2:7" x14ac:dyDescent="0.3">
      <c r="B118" s="214">
        <v>45452</v>
      </c>
      <c r="C118" s="207">
        <v>2469.92</v>
      </c>
      <c r="D118" s="186">
        <f t="shared" si="2"/>
        <v>-3.8035815826575892E-2</v>
      </c>
      <c r="F118" s="207">
        <v>23465.599999999999</v>
      </c>
      <c r="G118" s="186">
        <f t="shared" si="3"/>
        <v>7.5332275661599279E-3</v>
      </c>
    </row>
    <row r="119" spans="2:7" x14ac:dyDescent="0.3">
      <c r="B119" s="214">
        <v>45445</v>
      </c>
      <c r="C119" s="207">
        <v>2567.58</v>
      </c>
      <c r="D119" s="186">
        <f t="shared" si="2"/>
        <v>0.10680616084937999</v>
      </c>
      <c r="F119" s="207">
        <v>23290.15</v>
      </c>
      <c r="G119" s="186">
        <f t="shared" si="3"/>
        <v>3.3707341538434354E-2</v>
      </c>
    </row>
    <row r="120" spans="2:7" x14ac:dyDescent="0.3">
      <c r="B120" s="214">
        <v>45438</v>
      </c>
      <c r="C120" s="207">
        <v>2319.81</v>
      </c>
      <c r="D120" s="186">
        <f t="shared" si="2"/>
        <v>-1.6883859894475939E-2</v>
      </c>
      <c r="F120" s="207">
        <v>22530.7</v>
      </c>
      <c r="G120" s="186">
        <f t="shared" si="3"/>
        <v>-1.8573774562117951E-2</v>
      </c>
    </row>
    <row r="121" spans="2:7" x14ac:dyDescent="0.3">
      <c r="B121" s="214">
        <v>45431</v>
      </c>
      <c r="C121" s="207">
        <v>2359.65</v>
      </c>
      <c r="D121" s="186">
        <f t="shared" si="2"/>
        <v>2.0985223806330167E-2</v>
      </c>
      <c r="F121" s="207">
        <v>22957.1</v>
      </c>
      <c r="G121" s="186">
        <f t="shared" si="3"/>
        <v>2.1855150649200406E-2</v>
      </c>
    </row>
    <row r="122" spans="2:7" x14ac:dyDescent="0.3">
      <c r="B122" s="214">
        <v>45424</v>
      </c>
      <c r="C122" s="207">
        <v>2311.15</v>
      </c>
      <c r="D122" s="186">
        <f t="shared" si="2"/>
        <v>-1.786093711488268E-2</v>
      </c>
      <c r="F122" s="207">
        <v>22466.1</v>
      </c>
      <c r="G122" s="186">
        <f t="shared" si="3"/>
        <v>1.8630527041241907E-2</v>
      </c>
    </row>
    <row r="123" spans="2:7" x14ac:dyDescent="0.3">
      <c r="B123" s="214">
        <v>45417</v>
      </c>
      <c r="C123" s="207">
        <v>2353.1799999999998</v>
      </c>
      <c r="D123" s="186">
        <f t="shared" si="2"/>
        <v>6.5626330232852803E-2</v>
      </c>
      <c r="F123" s="207">
        <v>22055.200000000001</v>
      </c>
      <c r="G123" s="186">
        <f t="shared" si="3"/>
        <v>-1.8715643679771743E-2</v>
      </c>
    </row>
    <row r="124" spans="2:7" x14ac:dyDescent="0.3">
      <c r="B124" s="214">
        <v>45410</v>
      </c>
      <c r="C124" s="207">
        <v>2208.2600000000002</v>
      </c>
      <c r="D124" s="186">
        <f t="shared" si="2"/>
        <v>-2.5160016803457141E-3</v>
      </c>
      <c r="F124" s="207">
        <v>22475.85</v>
      </c>
      <c r="G124" s="186">
        <f t="shared" si="3"/>
        <v>2.4933151055197555E-3</v>
      </c>
    </row>
    <row r="125" spans="2:7" x14ac:dyDescent="0.3">
      <c r="B125" s="214">
        <v>45403</v>
      </c>
      <c r="C125" s="207">
        <v>2213.83</v>
      </c>
      <c r="D125" s="186">
        <f t="shared" si="2"/>
        <v>-4.0130469013609504E-3</v>
      </c>
      <c r="F125" s="207">
        <v>22419.95</v>
      </c>
      <c r="G125" s="186">
        <f t="shared" si="3"/>
        <v>1.2324468325281002E-2</v>
      </c>
    </row>
    <row r="126" spans="2:7" x14ac:dyDescent="0.3">
      <c r="B126" s="214">
        <v>45396</v>
      </c>
      <c r="C126" s="207">
        <v>2222.75</v>
      </c>
      <c r="D126" s="186">
        <f t="shared" si="2"/>
        <v>-3.1482605860255752E-4</v>
      </c>
      <c r="F126" s="207">
        <v>22147</v>
      </c>
      <c r="G126" s="186">
        <f t="shared" si="3"/>
        <v>-1.6536852669254087E-2</v>
      </c>
    </row>
    <row r="127" spans="2:7" x14ac:dyDescent="0.3">
      <c r="B127" s="214">
        <v>45389</v>
      </c>
      <c r="C127" s="207">
        <v>2223.4499999999998</v>
      </c>
      <c r="D127" s="186">
        <f t="shared" si="2"/>
        <v>-1.5283707417314885E-2</v>
      </c>
      <c r="F127" s="207">
        <v>22519.4</v>
      </c>
      <c r="G127" s="186">
        <f t="shared" si="3"/>
        <v>2.5317917534661838E-4</v>
      </c>
    </row>
    <row r="128" spans="2:7" x14ac:dyDescent="0.3">
      <c r="B128" s="214">
        <v>45382</v>
      </c>
      <c r="C128" s="207">
        <v>2257.96</v>
      </c>
      <c r="D128" s="186">
        <f t="shared" si="2"/>
        <v>1.1483703339141282E-3</v>
      </c>
      <c r="F128" s="207">
        <v>22513.7</v>
      </c>
      <c r="G128" s="186">
        <f t="shared" si="3"/>
        <v>8.3665891816597782E-3</v>
      </c>
    </row>
    <row r="129" spans="2:7" x14ac:dyDescent="0.3">
      <c r="B129" s="214">
        <v>45375</v>
      </c>
      <c r="C129" s="207">
        <v>2255.37</v>
      </c>
      <c r="D129" s="186">
        <f t="shared" si="2"/>
        <v>3.4570208222104437E-3</v>
      </c>
      <c r="F129" s="207">
        <v>22326.9</v>
      </c>
      <c r="G129" s="186">
        <f t="shared" si="3"/>
        <v>1.0415558849152129E-2</v>
      </c>
    </row>
    <row r="130" spans="2:7" x14ac:dyDescent="0.3">
      <c r="B130" s="214">
        <v>45368</v>
      </c>
      <c r="C130" s="207">
        <v>2247.6</v>
      </c>
      <c r="D130" s="186">
        <f t="shared" si="2"/>
        <v>-3.0567572580192937E-2</v>
      </c>
      <c r="F130" s="207">
        <v>22096.75</v>
      </c>
      <c r="G130" s="186">
        <f t="shared" si="3"/>
        <v>3.3328262957270649E-3</v>
      </c>
    </row>
    <row r="131" spans="2:7" x14ac:dyDescent="0.3">
      <c r="B131" s="214">
        <v>45361</v>
      </c>
      <c r="C131" s="207">
        <v>2318.4699999999998</v>
      </c>
      <c r="D131" s="186">
        <f t="shared" si="2"/>
        <v>-3.7959293761281376E-2</v>
      </c>
      <c r="F131" s="207">
        <v>22023.35</v>
      </c>
      <c r="G131" s="186">
        <f t="shared" si="3"/>
        <v>-2.0903770191899484E-2</v>
      </c>
    </row>
    <row r="132" spans="2:7" x14ac:dyDescent="0.3">
      <c r="B132" s="214">
        <v>45354</v>
      </c>
      <c r="C132" s="207">
        <v>2409.9499999999998</v>
      </c>
      <c r="D132" s="186">
        <f t="shared" si="2"/>
        <v>4.0872615764080411E-3</v>
      </c>
      <c r="F132" s="207">
        <v>22493.55</v>
      </c>
      <c r="G132" s="186">
        <f t="shared" si="3"/>
        <v>6.929662581836471E-3</v>
      </c>
    </row>
    <row r="133" spans="2:7" x14ac:dyDescent="0.3">
      <c r="B133" s="214">
        <v>45347</v>
      </c>
      <c r="C133" s="207">
        <v>2400.14</v>
      </c>
      <c r="D133" s="186">
        <f t="shared" si="2"/>
        <v>6.5168162375242034E-3</v>
      </c>
      <c r="F133" s="207">
        <v>22338.75</v>
      </c>
      <c r="G133" s="186">
        <f t="shared" si="3"/>
        <v>5.6746816010659895E-3</v>
      </c>
    </row>
    <row r="134" spans="2:7" x14ac:dyDescent="0.3">
      <c r="B134" s="214">
        <v>45340</v>
      </c>
      <c r="C134" s="207">
        <v>2384.6</v>
      </c>
      <c r="D134" s="186">
        <f t="shared" ref="D134:D197" si="4">C134/C135-1</f>
        <v>7.9337906781129508E-3</v>
      </c>
      <c r="F134" s="207">
        <v>22212.7</v>
      </c>
      <c r="G134" s="186">
        <f t="shared" ref="G134:G197" si="5">F134/F135-1</f>
        <v>7.8037448901351336E-3</v>
      </c>
    </row>
    <row r="135" spans="2:7" x14ac:dyDescent="0.3">
      <c r="B135" s="214">
        <v>45333</v>
      </c>
      <c r="C135" s="207">
        <v>2365.83</v>
      </c>
      <c r="D135" s="186">
        <f t="shared" si="4"/>
        <v>-2.017361485003355E-2</v>
      </c>
      <c r="F135" s="207">
        <v>22040.7</v>
      </c>
      <c r="G135" s="186">
        <f t="shared" si="5"/>
        <v>1.1853552163433978E-2</v>
      </c>
    </row>
    <row r="136" spans="2:7" x14ac:dyDescent="0.3">
      <c r="B136" s="214">
        <v>45326</v>
      </c>
      <c r="C136" s="207">
        <v>2414.54</v>
      </c>
      <c r="D136" s="186">
        <f t="shared" si="4"/>
        <v>-1.1597014986470811E-2</v>
      </c>
      <c r="F136" s="207">
        <v>21782.5</v>
      </c>
      <c r="G136" s="186">
        <f t="shared" si="5"/>
        <v>-3.2625904876955047E-3</v>
      </c>
    </row>
    <row r="137" spans="2:7" x14ac:dyDescent="0.3">
      <c r="B137" s="214">
        <v>45319</v>
      </c>
      <c r="C137" s="207">
        <v>2442.87</v>
      </c>
      <c r="D137" s="186">
        <f t="shared" si="4"/>
        <v>1.0005498889885667E-2</v>
      </c>
      <c r="F137" s="207">
        <v>21853.8</v>
      </c>
      <c r="G137" s="186">
        <f t="shared" si="5"/>
        <v>2.3472551352060167E-2</v>
      </c>
    </row>
    <row r="138" spans="2:7" x14ac:dyDescent="0.3">
      <c r="B138" s="214">
        <v>45312</v>
      </c>
      <c r="C138" s="207">
        <v>2418.67</v>
      </c>
      <c r="D138" s="186">
        <f t="shared" si="4"/>
        <v>-5.3443329954642071E-2</v>
      </c>
      <c r="F138" s="207">
        <v>21352.6</v>
      </c>
      <c r="G138" s="186">
        <f t="shared" si="5"/>
        <v>-1.2477800799171379E-2</v>
      </c>
    </row>
    <row r="139" spans="2:7" x14ac:dyDescent="0.3">
      <c r="B139" s="214">
        <v>45305</v>
      </c>
      <c r="C139" s="207">
        <v>2555.23</v>
      </c>
      <c r="D139" s="186">
        <f t="shared" si="4"/>
        <v>8.4138742102126685E-3</v>
      </c>
      <c r="F139" s="207">
        <v>21622.400000000001</v>
      </c>
      <c r="G139" s="186">
        <f t="shared" si="5"/>
        <v>-1.2430033958222397E-2</v>
      </c>
    </row>
    <row r="140" spans="2:7" x14ac:dyDescent="0.3">
      <c r="B140" s="214">
        <v>45298</v>
      </c>
      <c r="C140" s="207">
        <v>2533.91</v>
      </c>
      <c r="D140" s="186">
        <f t="shared" si="4"/>
        <v>-2.9026769770774785E-2</v>
      </c>
      <c r="F140" s="207">
        <v>21894.55</v>
      </c>
      <c r="G140" s="186">
        <f t="shared" si="5"/>
        <v>8.4635296718684749E-3</v>
      </c>
    </row>
    <row r="141" spans="2:7" x14ac:dyDescent="0.3">
      <c r="B141" s="214">
        <v>45291</v>
      </c>
      <c r="C141" s="207">
        <v>2609.66</v>
      </c>
      <c r="D141" s="186">
        <f t="shared" si="4"/>
        <v>-1.6480803801928845E-2</v>
      </c>
      <c r="F141" s="207">
        <v>21710.799999999999</v>
      </c>
      <c r="G141" s="186">
        <f t="shared" si="5"/>
        <v>-9.479370864280412E-4</v>
      </c>
    </row>
    <row r="142" spans="2:7" x14ac:dyDescent="0.3">
      <c r="B142" s="214">
        <v>45284</v>
      </c>
      <c r="C142" s="207">
        <v>2653.39</v>
      </c>
      <c r="D142" s="186">
        <f t="shared" si="4"/>
        <v>3.4302776575881211E-2</v>
      </c>
      <c r="F142" s="207">
        <v>21731.4</v>
      </c>
      <c r="G142" s="186">
        <f t="shared" si="5"/>
        <v>1.7892774504201459E-2</v>
      </c>
    </row>
    <row r="143" spans="2:7" x14ac:dyDescent="0.3">
      <c r="B143" s="214">
        <v>45277</v>
      </c>
      <c r="C143" s="207">
        <v>2565.39</v>
      </c>
      <c r="D143" s="186">
        <f t="shared" si="4"/>
        <v>2.0892279407375591E-2</v>
      </c>
      <c r="F143" s="207">
        <v>21349.4</v>
      </c>
      <c r="G143" s="186">
        <f t="shared" si="5"/>
        <v>-4.9984503638732525E-3</v>
      </c>
    </row>
    <row r="144" spans="2:7" x14ac:dyDescent="0.3">
      <c r="B144" s="214">
        <v>45270</v>
      </c>
      <c r="C144" s="207">
        <v>2512.89</v>
      </c>
      <c r="D144" s="186">
        <f t="shared" si="4"/>
        <v>2.3484456474132109E-4</v>
      </c>
      <c r="F144" s="207">
        <v>21456.65</v>
      </c>
      <c r="G144" s="186">
        <f t="shared" si="5"/>
        <v>2.3236239472755438E-2</v>
      </c>
    </row>
    <row r="145" spans="2:7" x14ac:dyDescent="0.3">
      <c r="B145" s="214">
        <v>45263</v>
      </c>
      <c r="C145" s="207">
        <v>2512.3000000000002</v>
      </c>
      <c r="D145" s="186">
        <f t="shared" si="4"/>
        <v>-1.6127010981092371E-2</v>
      </c>
      <c r="F145" s="207">
        <v>20969.400000000001</v>
      </c>
      <c r="G145" s="186">
        <f t="shared" si="5"/>
        <v>3.4611380557433069E-2</v>
      </c>
    </row>
    <row r="146" spans="2:7" x14ac:dyDescent="0.3">
      <c r="B146" s="214">
        <v>45256</v>
      </c>
      <c r="C146" s="207">
        <v>2553.48</v>
      </c>
      <c r="D146" s="186">
        <f t="shared" si="4"/>
        <v>1.9259708689421728E-2</v>
      </c>
      <c r="F146" s="207">
        <v>20267.900000000001</v>
      </c>
      <c r="G146" s="186">
        <f t="shared" si="5"/>
        <v>2.3905388816198414E-2</v>
      </c>
    </row>
    <row r="147" spans="2:7" x14ac:dyDescent="0.3">
      <c r="B147" s="214">
        <v>45249</v>
      </c>
      <c r="C147" s="207">
        <v>2505.23</v>
      </c>
      <c r="D147" s="186">
        <f t="shared" si="4"/>
        <v>-5.3756396971537113E-3</v>
      </c>
      <c r="F147" s="207">
        <v>19794.7</v>
      </c>
      <c r="G147" s="186">
        <f t="shared" si="5"/>
        <v>3.1877476966115648E-3</v>
      </c>
    </row>
    <row r="148" spans="2:7" x14ac:dyDescent="0.3">
      <c r="B148" s="214">
        <v>45242</v>
      </c>
      <c r="C148" s="207">
        <v>2518.77</v>
      </c>
      <c r="D148" s="186">
        <f t="shared" si="4"/>
        <v>1.6990418663619611E-2</v>
      </c>
      <c r="F148" s="207">
        <v>19731.8</v>
      </c>
      <c r="G148" s="186">
        <f t="shared" si="5"/>
        <v>1.5775777527818002E-2</v>
      </c>
    </row>
    <row r="149" spans="2:7" x14ac:dyDescent="0.3">
      <c r="B149" s="214">
        <v>45235</v>
      </c>
      <c r="C149" s="207">
        <v>2476.69</v>
      </c>
      <c r="D149" s="186">
        <f t="shared" si="4"/>
        <v>-9.0465330292482937E-3</v>
      </c>
      <c r="F149" s="207">
        <v>19425.349999999999</v>
      </c>
      <c r="G149" s="186">
        <f t="shared" si="5"/>
        <v>1.0127089118384225E-2</v>
      </c>
    </row>
    <row r="150" spans="2:7" x14ac:dyDescent="0.3">
      <c r="B150" s="214">
        <v>45228</v>
      </c>
      <c r="C150" s="207">
        <v>2499.3000000000002</v>
      </c>
      <c r="D150" s="186">
        <f t="shared" si="4"/>
        <v>1.0957806982416551E-2</v>
      </c>
      <c r="F150" s="207">
        <v>19230.599999999999</v>
      </c>
      <c r="G150" s="186">
        <f t="shared" si="5"/>
        <v>9.6260615049414966E-3</v>
      </c>
    </row>
    <row r="151" spans="2:7" x14ac:dyDescent="0.3">
      <c r="B151" s="214">
        <v>45221</v>
      </c>
      <c r="C151" s="207">
        <v>2472.21</v>
      </c>
      <c r="D151" s="186">
        <f t="shared" si="4"/>
        <v>-5.2469570465747406E-3</v>
      </c>
      <c r="F151" s="207">
        <v>19047.25</v>
      </c>
      <c r="G151" s="186">
        <f t="shared" si="5"/>
        <v>-2.5349683896503383E-2</v>
      </c>
    </row>
    <row r="152" spans="2:7" x14ac:dyDescent="0.3">
      <c r="B152" s="214">
        <v>45214</v>
      </c>
      <c r="C152" s="207">
        <v>2485.25</v>
      </c>
      <c r="D152" s="186">
        <f t="shared" si="4"/>
        <v>-2.8918515508389198E-2</v>
      </c>
      <c r="F152" s="207">
        <v>19542.650000000001</v>
      </c>
      <c r="G152" s="186">
        <f t="shared" si="5"/>
        <v>-1.0551337776978809E-2</v>
      </c>
    </row>
    <row r="153" spans="2:7" x14ac:dyDescent="0.3">
      <c r="B153" s="214">
        <v>45207</v>
      </c>
      <c r="C153" s="207">
        <v>2559.2600000000002</v>
      </c>
      <c r="D153" s="186">
        <f t="shared" si="4"/>
        <v>2.8025820549590685E-2</v>
      </c>
      <c r="F153" s="207">
        <v>19751.05</v>
      </c>
      <c r="G153" s="186">
        <f t="shared" si="5"/>
        <v>4.9634925076957881E-3</v>
      </c>
    </row>
    <row r="154" spans="2:7" x14ac:dyDescent="0.3">
      <c r="B154" s="214">
        <v>45200</v>
      </c>
      <c r="C154" s="207">
        <v>2489.4899999999998</v>
      </c>
      <c r="D154" s="186">
        <f t="shared" si="4"/>
        <v>1.3710288213305333E-2</v>
      </c>
      <c r="F154" s="207">
        <v>19653.5</v>
      </c>
      <c r="G154" s="186">
        <f t="shared" si="5"/>
        <v>7.7399774929598486E-4</v>
      </c>
    </row>
    <row r="155" spans="2:7" x14ac:dyDescent="0.3">
      <c r="B155" s="214">
        <v>45193</v>
      </c>
      <c r="C155" s="207">
        <v>2455.8200000000002</v>
      </c>
      <c r="D155" s="186">
        <f t="shared" si="4"/>
        <v>-6.7863787106687834E-3</v>
      </c>
      <c r="F155" s="207">
        <v>19638.3</v>
      </c>
      <c r="G155" s="186">
        <f t="shared" si="5"/>
        <v>-1.8272615220402688E-3</v>
      </c>
    </row>
    <row r="156" spans="2:7" x14ac:dyDescent="0.3">
      <c r="B156" s="214">
        <v>45186</v>
      </c>
      <c r="C156" s="207">
        <v>2472.6</v>
      </c>
      <c r="D156" s="186">
        <f t="shared" si="4"/>
        <v>5.1587253192191262E-3</v>
      </c>
      <c r="F156" s="207">
        <v>19674.25</v>
      </c>
      <c r="G156" s="186">
        <f t="shared" si="5"/>
        <v>-2.5658231954180599E-2</v>
      </c>
    </row>
    <row r="157" spans="2:7" x14ac:dyDescent="0.3">
      <c r="B157" s="214">
        <v>45179</v>
      </c>
      <c r="C157" s="207">
        <v>2459.91</v>
      </c>
      <c r="D157" s="186">
        <f t="shared" si="4"/>
        <v>-1.7541126993446121E-2</v>
      </c>
      <c r="F157" s="207">
        <v>20192.349999999999</v>
      </c>
      <c r="G157" s="186">
        <f t="shared" si="5"/>
        <v>1.8789149316723597E-2</v>
      </c>
    </row>
    <row r="158" spans="2:7" x14ac:dyDescent="0.3">
      <c r="B158" s="214">
        <v>45172</v>
      </c>
      <c r="C158" s="207">
        <v>2503.83</v>
      </c>
      <c r="D158" s="186">
        <f t="shared" si="4"/>
        <v>3.5913694901938964E-3</v>
      </c>
      <c r="F158" s="207">
        <v>19819.95</v>
      </c>
      <c r="G158" s="186">
        <f t="shared" si="5"/>
        <v>1.9791307569216876E-2</v>
      </c>
    </row>
    <row r="159" spans="2:7" x14ac:dyDescent="0.3">
      <c r="B159" s="214">
        <v>45165</v>
      </c>
      <c r="C159" s="207">
        <v>2494.87</v>
      </c>
      <c r="D159" s="186">
        <f t="shared" si="4"/>
        <v>-2.2914724796152641E-2</v>
      </c>
      <c r="F159" s="207">
        <v>19435.3</v>
      </c>
      <c r="G159" s="186">
        <f t="shared" si="5"/>
        <v>8.7979736112697715E-3</v>
      </c>
    </row>
    <row r="160" spans="2:7" x14ac:dyDescent="0.3">
      <c r="B160" s="214">
        <v>45158</v>
      </c>
      <c r="C160" s="207">
        <v>2553.38</v>
      </c>
      <c r="D160" s="186">
        <f t="shared" si="4"/>
        <v>3.4425572384089165E-3</v>
      </c>
      <c r="F160" s="207">
        <v>19265.8</v>
      </c>
      <c r="G160" s="186">
        <f t="shared" si="5"/>
        <v>-2.2967196008317758E-3</v>
      </c>
    </row>
    <row r="161" spans="2:7" x14ac:dyDescent="0.3">
      <c r="B161" s="214">
        <v>45151</v>
      </c>
      <c r="C161" s="207">
        <v>2544.62</v>
      </c>
      <c r="D161" s="186">
        <f t="shared" si="4"/>
        <v>2.1164743085541726E-2</v>
      </c>
      <c r="F161" s="207">
        <v>19310.150000000001</v>
      </c>
      <c r="G161" s="186">
        <f t="shared" si="5"/>
        <v>-6.0813349598265454E-3</v>
      </c>
    </row>
    <row r="162" spans="2:7" x14ac:dyDescent="0.3">
      <c r="B162" s="214">
        <v>45144</v>
      </c>
      <c r="C162" s="207">
        <v>2491.88</v>
      </c>
      <c r="D162" s="186">
        <f t="shared" si="4"/>
        <v>-1.7358728656492795E-2</v>
      </c>
      <c r="F162" s="207">
        <v>19428.3</v>
      </c>
      <c r="G162" s="186">
        <f t="shared" si="5"/>
        <v>-4.5447558538710409E-3</v>
      </c>
    </row>
    <row r="163" spans="2:7" x14ac:dyDescent="0.3">
      <c r="B163" s="214">
        <v>45137</v>
      </c>
      <c r="C163" s="207">
        <v>2535.9</v>
      </c>
      <c r="D163" s="186">
        <f t="shared" si="4"/>
        <v>-1.4935809039174908E-2</v>
      </c>
      <c r="F163" s="207">
        <v>19517</v>
      </c>
      <c r="G163" s="186">
        <f t="shared" si="5"/>
        <v>-6.568750461288575E-3</v>
      </c>
    </row>
    <row r="164" spans="2:7" x14ac:dyDescent="0.3">
      <c r="B164" s="214">
        <v>45130</v>
      </c>
      <c r="C164" s="207">
        <v>2574.35</v>
      </c>
      <c r="D164" s="186">
        <f t="shared" si="4"/>
        <v>-7.4489044481372835E-3</v>
      </c>
      <c r="F164" s="207">
        <v>19646.05</v>
      </c>
      <c r="G164" s="186">
        <f t="shared" si="5"/>
        <v>-5.0113952899468739E-3</v>
      </c>
    </row>
    <row r="165" spans="2:7" x14ac:dyDescent="0.3">
      <c r="B165" s="214">
        <v>45123</v>
      </c>
      <c r="C165" s="207">
        <v>2593.67</v>
      </c>
      <c r="D165" s="186">
        <f t="shared" si="4"/>
        <v>-2.7232698741317507E-2</v>
      </c>
      <c r="F165" s="207">
        <v>19745</v>
      </c>
      <c r="G165" s="186">
        <f t="shared" si="5"/>
        <v>9.225893838329613E-3</v>
      </c>
    </row>
    <row r="166" spans="2:7" x14ac:dyDescent="0.3">
      <c r="B166" s="214">
        <v>45116</v>
      </c>
      <c r="C166" s="207">
        <v>2666.28</v>
      </c>
      <c r="D166" s="186">
        <f t="shared" si="4"/>
        <v>-7.8588970752400122E-3</v>
      </c>
      <c r="F166" s="207">
        <v>19564.5</v>
      </c>
      <c r="G166" s="186">
        <f t="shared" si="5"/>
        <v>1.2037161567986399E-2</v>
      </c>
    </row>
    <row r="167" spans="2:7" x14ac:dyDescent="0.3">
      <c r="B167" s="214">
        <v>45109</v>
      </c>
      <c r="C167" s="207">
        <v>2687.4</v>
      </c>
      <c r="D167" s="186">
        <f t="shared" si="4"/>
        <v>7.4488384385553719E-3</v>
      </c>
      <c r="F167" s="207">
        <v>19331.8</v>
      </c>
      <c r="G167" s="186">
        <f t="shared" si="5"/>
        <v>7.4391384669902916E-3</v>
      </c>
    </row>
    <row r="168" spans="2:7" x14ac:dyDescent="0.3">
      <c r="B168" s="214">
        <v>45102</v>
      </c>
      <c r="C168" s="207">
        <v>2667.53</v>
      </c>
      <c r="D168" s="186">
        <f t="shared" si="4"/>
        <v>1.3838213384414377E-2</v>
      </c>
      <c r="F168" s="207">
        <v>19189.05</v>
      </c>
      <c r="G168" s="186">
        <f t="shared" si="5"/>
        <v>2.8049074495727355E-2</v>
      </c>
    </row>
    <row r="169" spans="2:7" x14ac:dyDescent="0.3">
      <c r="B169" s="214">
        <v>45095</v>
      </c>
      <c r="C169" s="207">
        <v>2631.12</v>
      </c>
      <c r="D169" s="186">
        <f t="shared" si="4"/>
        <v>-2.7269231906775993E-2</v>
      </c>
      <c r="F169" s="207">
        <v>18665.5</v>
      </c>
      <c r="G169" s="186">
        <f t="shared" si="5"/>
        <v>-8.5254435355359703E-3</v>
      </c>
    </row>
    <row r="170" spans="2:7" x14ac:dyDescent="0.3">
      <c r="B170" s="214">
        <v>45088</v>
      </c>
      <c r="C170" s="207">
        <v>2704.88</v>
      </c>
      <c r="D170" s="186">
        <f t="shared" si="4"/>
        <v>3.0136151575740344E-2</v>
      </c>
      <c r="F170" s="207">
        <v>18826</v>
      </c>
      <c r="G170" s="186">
        <f t="shared" si="5"/>
        <v>1.4146115474535925E-2</v>
      </c>
    </row>
    <row r="171" spans="2:7" x14ac:dyDescent="0.3">
      <c r="B171" s="214">
        <v>45081</v>
      </c>
      <c r="C171" s="207">
        <v>2625.75</v>
      </c>
      <c r="D171" s="186">
        <f t="shared" si="4"/>
        <v>-2.9631217363346396E-2</v>
      </c>
      <c r="F171" s="207">
        <v>18563.400000000001</v>
      </c>
      <c r="G171" s="186">
        <f t="shared" si="5"/>
        <v>1.5808698561032841E-3</v>
      </c>
    </row>
    <row r="172" spans="2:7" x14ac:dyDescent="0.3">
      <c r="B172" s="214">
        <v>45074</v>
      </c>
      <c r="C172" s="207">
        <v>2705.93</v>
      </c>
      <c r="D172" s="186">
        <f t="shared" si="4"/>
        <v>2.426348402433165E-2</v>
      </c>
      <c r="F172" s="207">
        <v>18534.099999999999</v>
      </c>
      <c r="G172" s="186">
        <f t="shared" si="5"/>
        <v>1.8784443777755122E-3</v>
      </c>
    </row>
    <row r="173" spans="2:7" x14ac:dyDescent="0.3">
      <c r="B173" s="214">
        <v>45067</v>
      </c>
      <c r="C173" s="207">
        <v>2641.83</v>
      </c>
      <c r="D173" s="186">
        <f t="shared" si="4"/>
        <v>4.1277551625447106E-3</v>
      </c>
      <c r="F173" s="207">
        <v>18499.349999999999</v>
      </c>
      <c r="G173" s="186">
        <f t="shared" si="5"/>
        <v>1.6257951811200044E-2</v>
      </c>
    </row>
    <row r="174" spans="2:7" x14ac:dyDescent="0.3">
      <c r="B174" s="214">
        <v>45060</v>
      </c>
      <c r="C174" s="207">
        <v>2630.97</v>
      </c>
      <c r="D174" s="186">
        <f t="shared" si="4"/>
        <v>6.8771526980482278E-3</v>
      </c>
      <c r="F174" s="207">
        <v>18203.400000000001</v>
      </c>
      <c r="G174" s="186">
        <f t="shared" si="5"/>
        <v>-6.0825125035489647E-3</v>
      </c>
    </row>
    <row r="175" spans="2:7" x14ac:dyDescent="0.3">
      <c r="B175" s="214">
        <v>45053</v>
      </c>
      <c r="C175" s="207">
        <v>2613</v>
      </c>
      <c r="D175" s="186">
        <f t="shared" si="4"/>
        <v>4.9047907725537243E-2</v>
      </c>
      <c r="F175" s="207">
        <v>18314.8</v>
      </c>
      <c r="G175" s="186">
        <f t="shared" si="5"/>
        <v>1.3603409153799317E-2</v>
      </c>
    </row>
    <row r="176" spans="2:7" x14ac:dyDescent="0.3">
      <c r="B176" s="214">
        <v>45046</v>
      </c>
      <c r="C176" s="207">
        <v>2490.83</v>
      </c>
      <c r="D176" s="186">
        <f t="shared" si="4"/>
        <v>1.768298911156041E-2</v>
      </c>
      <c r="F176" s="207">
        <v>18069</v>
      </c>
      <c r="G176" s="186">
        <f t="shared" si="5"/>
        <v>2.2142264046509652E-4</v>
      </c>
    </row>
    <row r="177" spans="2:7" x14ac:dyDescent="0.3">
      <c r="B177" s="214">
        <v>45039</v>
      </c>
      <c r="C177" s="207">
        <v>2447.5500000000002</v>
      </c>
      <c r="D177" s="186">
        <f t="shared" si="4"/>
        <v>-1.6273854118100894E-2</v>
      </c>
      <c r="F177" s="207">
        <v>18065</v>
      </c>
      <c r="G177" s="186">
        <f t="shared" si="5"/>
        <v>2.5019788300645995E-2</v>
      </c>
    </row>
    <row r="178" spans="2:7" x14ac:dyDescent="0.3">
      <c r="B178" s="214">
        <v>45032</v>
      </c>
      <c r="C178" s="207">
        <v>2488.04</v>
      </c>
      <c r="D178" s="186">
        <f t="shared" si="4"/>
        <v>-1.5082299476671834E-2</v>
      </c>
      <c r="F178" s="207">
        <v>17624.05</v>
      </c>
      <c r="G178" s="186">
        <f t="shared" si="5"/>
        <v>-1.143986986762402E-2</v>
      </c>
    </row>
    <row r="179" spans="2:7" x14ac:dyDescent="0.3">
      <c r="B179" s="214">
        <v>45025</v>
      </c>
      <c r="C179" s="207">
        <v>2526.14</v>
      </c>
      <c r="D179" s="186">
        <f t="shared" si="4"/>
        <v>-1.1326455531725066E-2</v>
      </c>
      <c r="F179" s="207">
        <v>17828</v>
      </c>
      <c r="G179" s="186">
        <f t="shared" si="5"/>
        <v>1.3003468917532901E-2</v>
      </c>
    </row>
    <row r="180" spans="2:7" x14ac:dyDescent="0.3">
      <c r="B180" s="214">
        <v>45018</v>
      </c>
      <c r="C180" s="207">
        <v>2555.08</v>
      </c>
      <c r="D180" s="186">
        <f t="shared" si="4"/>
        <v>1.9135754058505761E-3</v>
      </c>
      <c r="F180" s="207">
        <v>17599.150000000001</v>
      </c>
      <c r="G180" s="186">
        <f t="shared" si="5"/>
        <v>1.3790521176860304E-2</v>
      </c>
    </row>
    <row r="181" spans="2:7" x14ac:dyDescent="0.3">
      <c r="B181" s="214">
        <v>45011</v>
      </c>
      <c r="C181" s="207">
        <v>2550.1999999999998</v>
      </c>
      <c r="D181" s="186">
        <f t="shared" si="4"/>
        <v>3.206850778644732E-2</v>
      </c>
      <c r="F181" s="207">
        <v>17359.75</v>
      </c>
      <c r="G181" s="186">
        <f t="shared" si="5"/>
        <v>2.4473223743807226E-2</v>
      </c>
    </row>
    <row r="182" spans="2:7" x14ac:dyDescent="0.3">
      <c r="B182" s="214">
        <v>45004</v>
      </c>
      <c r="C182" s="207">
        <v>2470.96</v>
      </c>
      <c r="D182" s="186">
        <f t="shared" si="4"/>
        <v>1.3648166912117565E-2</v>
      </c>
      <c r="F182" s="207">
        <v>16945.05</v>
      </c>
      <c r="G182" s="186">
        <f t="shared" si="5"/>
        <v>-9.0643009815760678E-3</v>
      </c>
    </row>
    <row r="183" spans="2:7" x14ac:dyDescent="0.3">
      <c r="B183" s="214">
        <v>44997</v>
      </c>
      <c r="C183" s="207">
        <v>2437.69</v>
      </c>
      <c r="D183" s="186">
        <f t="shared" si="4"/>
        <v>-7.3218307020079809E-3</v>
      </c>
      <c r="F183" s="207">
        <v>17100.05</v>
      </c>
      <c r="G183" s="186">
        <f t="shared" si="5"/>
        <v>-1.796656501788918E-2</v>
      </c>
    </row>
    <row r="184" spans="2:7" x14ac:dyDescent="0.3">
      <c r="B184" s="214">
        <v>44990</v>
      </c>
      <c r="C184" s="207">
        <v>2455.67</v>
      </c>
      <c r="D184" s="186">
        <f t="shared" si="4"/>
        <v>-2.246871444823606E-3</v>
      </c>
      <c r="F184" s="207">
        <v>17412.900000000001</v>
      </c>
      <c r="G184" s="186">
        <f t="shared" si="5"/>
        <v>-1.0312969788596749E-2</v>
      </c>
    </row>
    <row r="185" spans="2:7" x14ac:dyDescent="0.3">
      <c r="B185" s="214">
        <v>44983</v>
      </c>
      <c r="C185" s="207">
        <v>2461.1999999999998</v>
      </c>
      <c r="D185" s="186">
        <f t="shared" si="4"/>
        <v>-5.3145270475074557E-3</v>
      </c>
      <c r="F185" s="207">
        <v>17594.349999999999</v>
      </c>
      <c r="G185" s="186">
        <f t="shared" si="5"/>
        <v>7.360098020130712E-3</v>
      </c>
    </row>
    <row r="186" spans="2:7" x14ac:dyDescent="0.3">
      <c r="B186" s="214">
        <v>44976</v>
      </c>
      <c r="C186" s="207">
        <v>2474.35</v>
      </c>
      <c r="D186" s="186">
        <f t="shared" si="4"/>
        <v>-1.2440531306874503E-2</v>
      </c>
      <c r="F186" s="207">
        <v>17465.8</v>
      </c>
      <c r="G186" s="186">
        <f t="shared" si="5"/>
        <v>-2.6660425095574092E-2</v>
      </c>
    </row>
    <row r="187" spans="2:7" x14ac:dyDescent="0.3">
      <c r="B187" s="214">
        <v>44969</v>
      </c>
      <c r="C187" s="207">
        <v>2505.52</v>
      </c>
      <c r="D187" s="186">
        <f t="shared" si="4"/>
        <v>-2.4056589074818557E-2</v>
      </c>
      <c r="F187" s="207">
        <v>17944.2</v>
      </c>
      <c r="G187" s="186">
        <f t="shared" si="5"/>
        <v>4.9113768095652155E-3</v>
      </c>
    </row>
    <row r="188" spans="2:7" x14ac:dyDescent="0.3">
      <c r="B188" s="214">
        <v>44962</v>
      </c>
      <c r="C188" s="207">
        <v>2567.2800000000002</v>
      </c>
      <c r="D188" s="186">
        <f t="shared" si="4"/>
        <v>-2.6900407467070897E-2</v>
      </c>
      <c r="F188" s="207">
        <v>17856.5</v>
      </c>
      <c r="G188" s="186">
        <f t="shared" si="5"/>
        <v>1.372237671564136E-4</v>
      </c>
    </row>
    <row r="189" spans="2:7" x14ac:dyDescent="0.3">
      <c r="B189" s="214">
        <v>44955</v>
      </c>
      <c r="C189" s="207">
        <v>2638.25</v>
      </c>
      <c r="D189" s="186">
        <f t="shared" si="4"/>
        <v>1.4013429216039652E-2</v>
      </c>
      <c r="F189" s="207">
        <v>17854.05</v>
      </c>
      <c r="G189" s="186">
        <f t="shared" si="5"/>
        <v>1.4183994296864233E-2</v>
      </c>
    </row>
    <row r="190" spans="2:7" x14ac:dyDescent="0.3">
      <c r="B190" s="214">
        <v>44948</v>
      </c>
      <c r="C190" s="207">
        <v>2601.79</v>
      </c>
      <c r="D190" s="186">
        <f t="shared" si="4"/>
        <v>2.487552390256198E-2</v>
      </c>
      <c r="F190" s="207">
        <v>17604.349999999999</v>
      </c>
      <c r="G190" s="186">
        <f t="shared" si="5"/>
        <v>-2.3480597859399488E-2</v>
      </c>
    </row>
    <row r="191" spans="2:7" x14ac:dyDescent="0.3">
      <c r="B191" s="214">
        <v>44941</v>
      </c>
      <c r="C191" s="207">
        <v>2538.64</v>
      </c>
      <c r="D191" s="186">
        <f t="shared" si="4"/>
        <v>-2.8677030444714036E-2</v>
      </c>
      <c r="F191" s="207">
        <v>18027.650000000001</v>
      </c>
      <c r="G191" s="186">
        <f t="shared" si="5"/>
        <v>3.9567624160476988E-3</v>
      </c>
    </row>
    <row r="192" spans="2:7" x14ac:dyDescent="0.3">
      <c r="B192" s="214">
        <v>44934</v>
      </c>
      <c r="C192" s="207">
        <v>2613.59</v>
      </c>
      <c r="D192" s="186">
        <f t="shared" si="4"/>
        <v>1.8455087813641136E-2</v>
      </c>
      <c r="F192" s="207">
        <v>17956.599999999999</v>
      </c>
      <c r="G192" s="186">
        <f t="shared" si="5"/>
        <v>5.4396971911228054E-3</v>
      </c>
    </row>
    <row r="193" spans="2:7" x14ac:dyDescent="0.3">
      <c r="B193" s="214">
        <v>44927</v>
      </c>
      <c r="C193" s="207">
        <v>2566.23</v>
      </c>
      <c r="D193" s="186">
        <f t="shared" si="4"/>
        <v>6.0135874145887946E-3</v>
      </c>
      <c r="F193" s="207">
        <v>17859.45</v>
      </c>
      <c r="G193" s="186">
        <f t="shared" si="5"/>
        <v>-1.3578896787128536E-2</v>
      </c>
    </row>
    <row r="194" spans="2:7" x14ac:dyDescent="0.3">
      <c r="B194" s="214">
        <v>44920</v>
      </c>
      <c r="C194" s="207">
        <v>2550.89</v>
      </c>
      <c r="D194" s="186">
        <f t="shared" si="4"/>
        <v>-2.2913307108028191E-2</v>
      </c>
      <c r="F194" s="207">
        <v>18105.3</v>
      </c>
      <c r="G194" s="186">
        <f t="shared" si="5"/>
        <v>1.6763258979715534E-2</v>
      </c>
    </row>
    <row r="195" spans="2:7" x14ac:dyDescent="0.3">
      <c r="B195" s="214">
        <v>44913</v>
      </c>
      <c r="C195" s="207">
        <v>2610.71</v>
      </c>
      <c r="D195" s="186">
        <f t="shared" si="4"/>
        <v>-1.8791976577680392E-2</v>
      </c>
      <c r="F195" s="207">
        <v>17806.8</v>
      </c>
      <c r="G195" s="186">
        <f t="shared" si="5"/>
        <v>-2.5299687996058973E-2</v>
      </c>
    </row>
    <row r="196" spans="2:7" x14ac:dyDescent="0.3">
      <c r="B196" s="214">
        <v>44906</v>
      </c>
      <c r="C196" s="207">
        <v>2660.71</v>
      </c>
      <c r="D196" s="186">
        <f t="shared" si="4"/>
        <v>-1.8713234616164698E-2</v>
      </c>
      <c r="F196" s="207">
        <v>18269</v>
      </c>
      <c r="G196" s="186">
        <f t="shared" si="5"/>
        <v>-1.2304964155574472E-2</v>
      </c>
    </row>
    <row r="197" spans="2:7" x14ac:dyDescent="0.3">
      <c r="B197" s="214">
        <v>44899</v>
      </c>
      <c r="C197" s="207">
        <v>2711.45</v>
      </c>
      <c r="D197" s="186">
        <f t="shared" si="4"/>
        <v>4.0971617019806228E-2</v>
      </c>
      <c r="F197" s="207">
        <v>18496.599999999999</v>
      </c>
      <c r="G197" s="186">
        <f t="shared" si="5"/>
        <v>-1.0670674632677457E-2</v>
      </c>
    </row>
    <row r="198" spans="2:7" x14ac:dyDescent="0.3">
      <c r="B198" s="214">
        <v>44892</v>
      </c>
      <c r="C198" s="207">
        <v>2604.73</v>
      </c>
      <c r="D198" s="186">
        <f t="shared" ref="D198:D212" si="6">C198/C199-1</f>
        <v>3.0600738311064024E-2</v>
      </c>
      <c r="F198" s="207">
        <v>18696.099999999999</v>
      </c>
      <c r="G198" s="186">
        <f t="shared" ref="G198:G212" si="7">F198/F199-1</f>
        <v>9.9039850913558158E-3</v>
      </c>
    </row>
    <row r="199" spans="2:7" x14ac:dyDescent="0.3">
      <c r="B199" s="214">
        <v>44885</v>
      </c>
      <c r="C199" s="207">
        <v>2527.39</v>
      </c>
      <c r="D199" s="186">
        <f t="shared" si="6"/>
        <v>2.1642379287345692E-2</v>
      </c>
      <c r="F199" s="207">
        <v>18512.75</v>
      </c>
      <c r="G199" s="186">
        <f t="shared" si="7"/>
        <v>1.1202967065680136E-2</v>
      </c>
    </row>
    <row r="200" spans="2:7" x14ac:dyDescent="0.3">
      <c r="B200" s="214">
        <v>44878</v>
      </c>
      <c r="C200" s="207">
        <v>2473.85</v>
      </c>
      <c r="D200" s="186">
        <f t="shared" si="6"/>
        <v>-7.729270953664491E-3</v>
      </c>
      <c r="F200" s="207">
        <v>18307.650000000001</v>
      </c>
      <c r="G200" s="186">
        <f t="shared" si="7"/>
        <v>-2.2915905982113793E-3</v>
      </c>
    </row>
    <row r="201" spans="2:7" x14ac:dyDescent="0.3">
      <c r="B201" s="214">
        <v>44871</v>
      </c>
      <c r="C201" s="207">
        <v>2493.12</v>
      </c>
      <c r="D201" s="186">
        <f t="shared" si="6"/>
        <v>-6.8635847590973187E-3</v>
      </c>
      <c r="F201" s="207">
        <v>18349.7</v>
      </c>
      <c r="G201" s="186">
        <f t="shared" si="7"/>
        <v>1.2835904101914375E-2</v>
      </c>
    </row>
    <row r="202" spans="2:7" x14ac:dyDescent="0.3">
      <c r="B202" s="214">
        <v>44864</v>
      </c>
      <c r="C202" s="207">
        <v>2510.35</v>
      </c>
      <c r="D202" s="186">
        <f t="shared" si="6"/>
        <v>-1.5471872215857552E-3</v>
      </c>
      <c r="F202" s="207">
        <v>18117.150000000001</v>
      </c>
      <c r="G202" s="186">
        <f t="shared" si="7"/>
        <v>1.8572761823374861E-2</v>
      </c>
    </row>
    <row r="203" spans="2:7" x14ac:dyDescent="0.3">
      <c r="B203" s="214">
        <v>44857</v>
      </c>
      <c r="C203" s="207">
        <v>2514.2399999999998</v>
      </c>
      <c r="D203" s="186">
        <f t="shared" si="6"/>
        <v>-4.8854118590592521E-2</v>
      </c>
      <c r="F203" s="207">
        <v>17786.8</v>
      </c>
      <c r="G203" s="186">
        <f t="shared" si="7"/>
        <v>1.1976354522851729E-2</v>
      </c>
    </row>
    <row r="204" spans="2:7" x14ac:dyDescent="0.3">
      <c r="B204" s="214">
        <v>44850</v>
      </c>
      <c r="C204" s="207">
        <v>2643.38</v>
      </c>
      <c r="D204" s="186">
        <f t="shared" si="6"/>
        <v>3.0324527007538293E-2</v>
      </c>
      <c r="F204" s="207">
        <v>17576.3</v>
      </c>
      <c r="G204" s="186">
        <f t="shared" si="7"/>
        <v>2.2728198444055048E-2</v>
      </c>
    </row>
    <row r="205" spans="2:7" x14ac:dyDescent="0.3">
      <c r="B205" s="214">
        <v>44843</v>
      </c>
      <c r="C205" s="207">
        <v>2565.58</v>
      </c>
      <c r="D205" s="186">
        <f t="shared" si="6"/>
        <v>-9.1952158616508406E-3</v>
      </c>
      <c r="F205" s="207">
        <v>17185.7</v>
      </c>
      <c r="G205" s="186">
        <f t="shared" si="7"/>
        <v>-7.4474505693156168E-3</v>
      </c>
    </row>
    <row r="206" spans="2:7" x14ac:dyDescent="0.3">
      <c r="B206" s="214">
        <v>44836</v>
      </c>
      <c r="C206" s="207">
        <v>2589.39</v>
      </c>
      <c r="D206" s="186">
        <f t="shared" si="6"/>
        <v>-3.5881836053854532E-2</v>
      </c>
      <c r="F206" s="207">
        <v>17314.650000000001</v>
      </c>
      <c r="G206" s="186">
        <f t="shared" si="7"/>
        <v>1.2887299019851861E-2</v>
      </c>
    </row>
    <row r="207" spans="2:7" x14ac:dyDescent="0.3">
      <c r="B207" s="214">
        <v>44829</v>
      </c>
      <c r="C207" s="207">
        <v>2685.76</v>
      </c>
      <c r="D207" s="186">
        <f t="shared" si="6"/>
        <v>5.3716950973456967E-3</v>
      </c>
      <c r="F207" s="207">
        <v>17094.349999999999</v>
      </c>
      <c r="G207" s="186">
        <f t="shared" si="7"/>
        <v>-1.3446949475828696E-2</v>
      </c>
    </row>
    <row r="208" spans="2:7" x14ac:dyDescent="0.3">
      <c r="B208" s="214">
        <v>44822</v>
      </c>
      <c r="C208" s="207">
        <v>2671.41</v>
      </c>
      <c r="D208" s="186">
        <f t="shared" si="6"/>
        <v>6.0874779597477557E-2</v>
      </c>
      <c r="F208" s="207">
        <v>17327.349999999999</v>
      </c>
      <c r="G208" s="186">
        <f t="shared" si="7"/>
        <v>-1.1608107992481798E-2</v>
      </c>
    </row>
    <row r="209" spans="2:7" x14ac:dyDescent="0.3">
      <c r="B209" s="214">
        <v>44815</v>
      </c>
      <c r="C209" s="207">
        <v>2518.12</v>
      </c>
      <c r="D209" s="186">
        <f t="shared" si="6"/>
        <v>-2.3390202565126805E-2</v>
      </c>
      <c r="F209" s="207">
        <v>17530.849999999999</v>
      </c>
      <c r="G209" s="186">
        <f t="shared" si="7"/>
        <v>-1.6962600969531838E-2</v>
      </c>
    </row>
    <row r="210" spans="2:7" x14ac:dyDescent="0.3">
      <c r="B210" s="214">
        <v>44808</v>
      </c>
      <c r="C210" s="207">
        <v>2578.4299999999998</v>
      </c>
      <c r="D210" s="186">
        <f t="shared" si="6"/>
        <v>-5.7225047912481397E-3</v>
      </c>
      <c r="F210" s="207">
        <v>17833.349999999999</v>
      </c>
      <c r="G210" s="186">
        <f t="shared" si="7"/>
        <v>1.6756511749228098E-2</v>
      </c>
    </row>
    <row r="211" spans="2:7" x14ac:dyDescent="0.3">
      <c r="B211" s="214">
        <v>44801</v>
      </c>
      <c r="C211" s="207">
        <v>2593.27</v>
      </c>
      <c r="D211" s="186">
        <f t="shared" si="6"/>
        <v>1.2462178148242131E-2</v>
      </c>
      <c r="F211" s="207">
        <v>17539.45</v>
      </c>
      <c r="G211" s="186">
        <f t="shared" si="7"/>
        <v>-1.1077003684741848E-3</v>
      </c>
    </row>
    <row r="212" spans="2:7" x14ac:dyDescent="0.3">
      <c r="B212" s="214">
        <v>44794</v>
      </c>
      <c r="C212" s="207">
        <v>2561.35</v>
      </c>
      <c r="D212" s="186">
        <f t="shared" si="6"/>
        <v>-2.3912960634122182E-2</v>
      </c>
      <c r="F212" s="207">
        <v>17558.900000000001</v>
      </c>
      <c r="G212" s="186">
        <f t="shared" si="7"/>
        <v>-1.1236904121699753E-2</v>
      </c>
    </row>
    <row r="213" spans="2:7" x14ac:dyDescent="0.3">
      <c r="B213" s="214">
        <v>44787</v>
      </c>
      <c r="C213" s="207">
        <v>2624.1</v>
      </c>
      <c r="D213" s="186" t="s">
        <v>579</v>
      </c>
      <c r="F213" s="207">
        <v>17758.45</v>
      </c>
      <c r="G213" s="186" t="s">
        <v>579</v>
      </c>
    </row>
  </sheetData>
  <mergeCells count="1">
    <mergeCell ref="I2:J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79766-561E-4139-98E1-97FA24465370}">
  <sheetPr>
    <tabColor rgb="FF808080"/>
  </sheetPr>
  <dimension ref="C2:Y213"/>
  <sheetViews>
    <sheetView showGridLines="0" topLeftCell="O1" workbookViewId="0">
      <selection activeCell="Y13" sqref="Y13"/>
    </sheetView>
  </sheetViews>
  <sheetFormatPr defaultRowHeight="14.4" x14ac:dyDescent="0.3"/>
  <cols>
    <col min="1" max="2" width="3.33203125" customWidth="1"/>
    <col min="3" max="3" width="9.88671875" bestFit="1" customWidth="1"/>
    <col min="4" max="4" width="7" bestFit="1" customWidth="1"/>
    <col min="5" max="5" width="13.44140625" bestFit="1" customWidth="1"/>
    <col min="7" max="7" width="11.6640625" bestFit="1" customWidth="1"/>
    <col min="8" max="8" width="13.44140625" bestFit="1" customWidth="1"/>
    <col min="10" max="10" width="11.6640625" bestFit="1" customWidth="1"/>
    <col min="11" max="11" width="13.44140625" bestFit="1" customWidth="1"/>
    <col min="13" max="13" width="11.6640625" bestFit="1" customWidth="1"/>
    <col min="14" max="14" width="13.44140625" bestFit="1" customWidth="1"/>
    <col min="16" max="16" width="13.109375" customWidth="1"/>
    <col min="17" max="17" width="15.44140625" customWidth="1"/>
    <col min="20" max="20" width="12" customWidth="1"/>
  </cols>
  <sheetData>
    <row r="2" spans="3:25" x14ac:dyDescent="0.3">
      <c r="D2" s="193" t="s">
        <v>112</v>
      </c>
      <c r="E2" s="193"/>
      <c r="G2" s="193" t="s">
        <v>580</v>
      </c>
      <c r="H2" s="193"/>
      <c r="J2" s="193" t="s">
        <v>581</v>
      </c>
      <c r="K2" s="193"/>
      <c r="M2" s="193" t="s">
        <v>140</v>
      </c>
      <c r="N2" s="193"/>
      <c r="P2" s="193" t="s">
        <v>566</v>
      </c>
      <c r="Q2" s="193"/>
    </row>
    <row r="3" spans="3:25" ht="15" thickBot="1" x14ac:dyDescent="0.35"/>
    <row r="4" spans="3:25" x14ac:dyDescent="0.3">
      <c r="C4" s="202" t="s">
        <v>569</v>
      </c>
      <c r="D4" s="201" t="s">
        <v>49</v>
      </c>
      <c r="E4" s="201" t="s">
        <v>570</v>
      </c>
      <c r="G4" s="202" t="s">
        <v>49</v>
      </c>
      <c r="H4" s="201" t="s">
        <v>570</v>
      </c>
      <c r="J4" s="202" t="s">
        <v>49</v>
      </c>
      <c r="K4" s="201" t="s">
        <v>570</v>
      </c>
      <c r="M4" s="202" t="s">
        <v>49</v>
      </c>
      <c r="N4" s="201" t="s">
        <v>570</v>
      </c>
      <c r="P4" s="202" t="s">
        <v>49</v>
      </c>
      <c r="Q4" s="201" t="s">
        <v>570</v>
      </c>
      <c r="T4" s="215" t="s">
        <v>582</v>
      </c>
      <c r="U4" s="216" t="s">
        <v>583</v>
      </c>
    </row>
    <row r="5" spans="3:25" x14ac:dyDescent="0.3">
      <c r="C5" s="214">
        <v>46243</v>
      </c>
      <c r="D5" s="207">
        <v>276.85000000000002</v>
      </c>
      <c r="E5" s="186">
        <f>D5/D6-1</f>
        <v>-3.2331352673890201E-2</v>
      </c>
      <c r="F5" s="214"/>
      <c r="G5" s="207">
        <v>1509.9</v>
      </c>
      <c r="H5" s="186">
        <f>G5/G6-1</f>
        <v>-1.9545454545454533E-2</v>
      </c>
      <c r="I5" s="214"/>
      <c r="J5" s="207">
        <v>936</v>
      </c>
      <c r="K5" s="186">
        <f>J5/J6-1</f>
        <v>-0.10857142857142854</v>
      </c>
      <c r="L5" s="214"/>
      <c r="M5" s="207">
        <v>862</v>
      </c>
      <c r="N5" s="186">
        <f>M5/M6-1</f>
        <v>0</v>
      </c>
      <c r="P5" s="207">
        <v>24318.85</v>
      </c>
      <c r="Q5" s="186">
        <f>P5/P6-1</f>
        <v>-1.0247999137182107E-2</v>
      </c>
      <c r="T5" s="217" t="str">
        <f>D2</f>
        <v>ITC</v>
      </c>
      <c r="U5" s="218">
        <f>SLOPE(E5:E213,Q5:Q213)</f>
        <v>0.5483700137953792</v>
      </c>
    </row>
    <row r="6" spans="3:25" x14ac:dyDescent="0.3">
      <c r="C6" s="214">
        <v>46236</v>
      </c>
      <c r="D6" s="207">
        <v>286.10000000000002</v>
      </c>
      <c r="E6" s="186">
        <f t="shared" ref="E6:E69" si="0">D6/D7-1</f>
        <v>1.8149466192170838E-2</v>
      </c>
      <c r="F6" s="214"/>
      <c r="G6" s="207">
        <v>1540</v>
      </c>
      <c r="H6" s="186">
        <f t="shared" ref="H6:H69" si="1">G6/G7-1</f>
        <v>2.0137784843667239E-2</v>
      </c>
      <c r="I6" s="214"/>
      <c r="J6" s="207">
        <v>1050</v>
      </c>
      <c r="K6" s="186">
        <f t="shared" ref="K6:K69" si="2">J6/J7-1</f>
        <v>-1.9058295964125671E-2</v>
      </c>
      <c r="L6" s="214"/>
      <c r="M6" s="207">
        <v>862</v>
      </c>
      <c r="N6" s="186">
        <f t="shared" ref="N6:N69" si="3">M6/M7-1</f>
        <v>-9.9351059553207666E-3</v>
      </c>
      <c r="P6" s="207">
        <v>24570.65</v>
      </c>
      <c r="Q6" s="186">
        <f t="shared" ref="Q6:Q69" si="4">P6/P7-1</f>
        <v>7.6711396184321323E-3</v>
      </c>
      <c r="T6" s="217" t="str">
        <f>G2</f>
        <v>Nestle</v>
      </c>
      <c r="U6" s="218">
        <f>SLOPE(H5:H213,Q5:Q213)</f>
        <v>0.63043235832038602</v>
      </c>
    </row>
    <row r="7" spans="3:25" x14ac:dyDescent="0.3">
      <c r="C7" s="214">
        <v>46229</v>
      </c>
      <c r="D7" s="207">
        <v>281</v>
      </c>
      <c r="E7" s="186">
        <f t="shared" si="0"/>
        <v>-8.6434997354030152E-3</v>
      </c>
      <c r="F7" s="214"/>
      <c r="G7" s="207">
        <v>1509.6</v>
      </c>
      <c r="H7" s="186">
        <f t="shared" si="1"/>
        <v>4.5791479043990169E-2</v>
      </c>
      <c r="I7" s="214"/>
      <c r="J7" s="207">
        <v>1070.4000000000001</v>
      </c>
      <c r="K7" s="186">
        <f t="shared" si="2"/>
        <v>1.0287871637564949E-2</v>
      </c>
      <c r="L7" s="214"/>
      <c r="M7" s="207">
        <v>870.65</v>
      </c>
      <c r="N7" s="186">
        <f t="shared" si="3"/>
        <v>1.7589995324918117E-2</v>
      </c>
      <c r="P7" s="207">
        <v>24383.599999999999</v>
      </c>
      <c r="Q7" s="186">
        <f t="shared" si="4"/>
        <v>2.5924110495656683E-2</v>
      </c>
      <c r="T7" s="217" t="str">
        <f>J2</f>
        <v>Godrej</v>
      </c>
      <c r="U7" s="218">
        <f>SLOPE(K5:K213,Q5:Q213)</f>
        <v>0.75183996144048126</v>
      </c>
    </row>
    <row r="8" spans="3:25" x14ac:dyDescent="0.3">
      <c r="C8" s="214">
        <v>46222</v>
      </c>
      <c r="D8" s="207">
        <v>283.45</v>
      </c>
      <c r="E8" s="186">
        <f t="shared" si="0"/>
        <v>9.7969362308514274E-3</v>
      </c>
      <c r="F8" s="214"/>
      <c r="G8" s="207">
        <v>1443.5</v>
      </c>
      <c r="H8" s="186">
        <f t="shared" si="1"/>
        <v>1.1420964125560484E-2</v>
      </c>
      <c r="I8" s="214"/>
      <c r="J8" s="207">
        <v>1059.5</v>
      </c>
      <c r="K8" s="186">
        <f t="shared" si="2"/>
        <v>-1.1568243306278703E-2</v>
      </c>
      <c r="L8" s="214"/>
      <c r="M8" s="207">
        <v>855.6</v>
      </c>
      <c r="N8" s="186">
        <f t="shared" si="3"/>
        <v>1.3744075829383862E-2</v>
      </c>
      <c r="P8" s="207">
        <v>23767.45</v>
      </c>
      <c r="Q8" s="186">
        <f t="shared" si="4"/>
        <v>-2.3294280090242925E-2</v>
      </c>
      <c r="T8" s="217" t="str">
        <f>M2</f>
        <v>Marico</v>
      </c>
      <c r="U8" s="218">
        <f>SLOPE(N5:N213,Q5:Q213)</f>
        <v>0.4249705340057075</v>
      </c>
    </row>
    <row r="9" spans="3:25" ht="15" thickBot="1" x14ac:dyDescent="0.35">
      <c r="C9" s="214">
        <v>46215</v>
      </c>
      <c r="D9" s="207">
        <v>280.7</v>
      </c>
      <c r="E9" s="186">
        <f t="shared" si="0"/>
        <v>-3.7267080745342351E-3</v>
      </c>
      <c r="F9" s="214"/>
      <c r="G9" s="207">
        <v>1427.2</v>
      </c>
      <c r="H9" s="186">
        <f t="shared" si="1"/>
        <v>-1.9241341396371681E-2</v>
      </c>
      <c r="I9" s="214"/>
      <c r="J9" s="207">
        <v>1071.9000000000001</v>
      </c>
      <c r="K9" s="186">
        <f t="shared" si="2"/>
        <v>-1.5159867695700102E-2</v>
      </c>
      <c r="L9" s="214"/>
      <c r="M9" s="207">
        <v>844</v>
      </c>
      <c r="N9" s="186">
        <f t="shared" si="3"/>
        <v>-9.9706744868035546E-3</v>
      </c>
      <c r="P9" s="207">
        <v>24334.3</v>
      </c>
      <c r="Q9" s="186">
        <f t="shared" si="4"/>
        <v>5.262962213253175E-3</v>
      </c>
      <c r="T9" s="205"/>
      <c r="U9" s="219"/>
    </row>
    <row r="10" spans="3:25" x14ac:dyDescent="0.3">
      <c r="C10" s="214">
        <v>46208</v>
      </c>
      <c r="D10" s="207">
        <v>281.75</v>
      </c>
      <c r="E10" s="186">
        <f t="shared" si="0"/>
        <v>-2.8280738058285904E-2</v>
      </c>
      <c r="F10" s="214"/>
      <c r="G10" s="207">
        <v>1455.2</v>
      </c>
      <c r="H10" s="186">
        <f t="shared" si="1"/>
        <v>-1.783509397722538E-3</v>
      </c>
      <c r="I10" s="214"/>
      <c r="J10" s="207">
        <v>1088.4000000000001</v>
      </c>
      <c r="K10" s="186">
        <f t="shared" si="2"/>
        <v>1.0678800260005561E-2</v>
      </c>
      <c r="L10" s="214"/>
      <c r="M10" s="207">
        <v>852.5</v>
      </c>
      <c r="N10" s="186">
        <f t="shared" si="3"/>
        <v>1.6635859519408491E-2</v>
      </c>
      <c r="P10" s="207">
        <v>24206.9</v>
      </c>
      <c r="Q10" s="186">
        <f t="shared" si="4"/>
        <v>-2.6348479760699428E-3</v>
      </c>
    </row>
    <row r="11" spans="3:25" x14ac:dyDescent="0.3">
      <c r="C11" s="214">
        <v>46201</v>
      </c>
      <c r="D11" s="207">
        <v>289.95</v>
      </c>
      <c r="E11" s="186">
        <f t="shared" si="0"/>
        <v>-1.7241379310350968E-4</v>
      </c>
      <c r="F11" s="214"/>
      <c r="G11" s="207">
        <v>1457.8</v>
      </c>
      <c r="H11" s="186">
        <f t="shared" si="1"/>
        <v>4.0780192477939181E-2</v>
      </c>
      <c r="I11" s="214"/>
      <c r="J11" s="207">
        <v>1076.9000000000001</v>
      </c>
      <c r="K11" s="186">
        <f t="shared" si="2"/>
        <v>4.0885366325150052E-2</v>
      </c>
      <c r="L11" s="214"/>
      <c r="M11" s="207">
        <v>838.55</v>
      </c>
      <c r="N11" s="186">
        <f t="shared" si="3"/>
        <v>1.5439573746669932E-2</v>
      </c>
      <c r="P11" s="207">
        <v>24270.85</v>
      </c>
      <c r="Q11" s="186">
        <f t="shared" si="4"/>
        <v>8.9312437645492349E-3</v>
      </c>
      <c r="T11" t="s">
        <v>81</v>
      </c>
    </row>
    <row r="12" spans="3:25" x14ac:dyDescent="0.3">
      <c r="C12" s="214">
        <v>46194</v>
      </c>
      <c r="D12" s="207">
        <v>290</v>
      </c>
      <c r="E12" s="186">
        <f t="shared" si="0"/>
        <v>-8.5470085470085166E-3</v>
      </c>
      <c r="F12" s="214"/>
      <c r="G12" s="207">
        <v>1400.68</v>
      </c>
      <c r="H12" s="186">
        <f t="shared" si="1"/>
        <v>-8.6278284626326585E-3</v>
      </c>
      <c r="I12" s="214"/>
      <c r="J12" s="207">
        <v>1034.5999999999999</v>
      </c>
      <c r="K12" s="186">
        <f t="shared" si="2"/>
        <v>3.3979612232660328E-2</v>
      </c>
      <c r="L12" s="214"/>
      <c r="M12" s="207">
        <v>825.8</v>
      </c>
      <c r="N12" s="186">
        <f t="shared" si="3"/>
        <v>1.070925891928276E-2</v>
      </c>
      <c r="P12" s="207">
        <v>24056</v>
      </c>
      <c r="Q12" s="186">
        <f t="shared" si="4"/>
        <v>1.7865248551833801E-3</v>
      </c>
    </row>
    <row r="13" spans="3:25" x14ac:dyDescent="0.3">
      <c r="C13" s="214">
        <v>46187</v>
      </c>
      <c r="D13" s="207">
        <v>292.5</v>
      </c>
      <c r="E13" s="186">
        <f t="shared" si="0"/>
        <v>2.5955804980708486E-2</v>
      </c>
      <c r="F13" s="214"/>
      <c r="G13" s="207">
        <v>1412.87</v>
      </c>
      <c r="H13" s="186">
        <f t="shared" si="1"/>
        <v>2.8424393297520778E-2</v>
      </c>
      <c r="I13" s="214"/>
      <c r="J13" s="207">
        <v>1000.6</v>
      </c>
      <c r="K13" s="186">
        <f t="shared" si="2"/>
        <v>-3.1646182134907552E-2</v>
      </c>
      <c r="L13" s="214"/>
      <c r="M13" s="207">
        <v>817.05</v>
      </c>
      <c r="N13" s="186">
        <f t="shared" si="3"/>
        <v>-2.4418533667053266E-3</v>
      </c>
      <c r="P13" s="207">
        <v>24013.1</v>
      </c>
      <c r="Q13" s="186">
        <f t="shared" si="4"/>
        <v>1.6517870371546062E-2</v>
      </c>
      <c r="U13" t="s">
        <v>584</v>
      </c>
    </row>
    <row r="14" spans="3:25" x14ac:dyDescent="0.3">
      <c r="C14" s="214">
        <v>46180</v>
      </c>
      <c r="D14" s="207">
        <v>285.10000000000002</v>
      </c>
      <c r="E14" s="186">
        <f t="shared" si="0"/>
        <v>1.5675097969362506E-2</v>
      </c>
      <c r="F14" s="214"/>
      <c r="G14" s="207">
        <v>1373.82</v>
      </c>
      <c r="H14" s="186">
        <f t="shared" si="1"/>
        <v>-8.930890203433961E-3</v>
      </c>
      <c r="I14" s="214"/>
      <c r="J14" s="207">
        <v>1033.3</v>
      </c>
      <c r="K14" s="186">
        <f t="shared" si="2"/>
        <v>3.5370741482965817E-2</v>
      </c>
      <c r="L14" s="214"/>
      <c r="M14" s="207">
        <v>819.05</v>
      </c>
      <c r="N14" s="186">
        <f t="shared" si="3"/>
        <v>1.0362055140936244E-2</v>
      </c>
      <c r="P14" s="207">
        <v>23622.9</v>
      </c>
      <c r="Q14" s="186">
        <f t="shared" si="4"/>
        <v>1.0964321020940027E-2</v>
      </c>
      <c r="T14" s="367" t="s">
        <v>567</v>
      </c>
      <c r="U14" s="367"/>
      <c r="V14" s="367"/>
      <c r="W14" s="367"/>
      <c r="X14" s="367"/>
      <c r="Y14" s="367"/>
    </row>
    <row r="15" spans="3:25" ht="15" thickBot="1" x14ac:dyDescent="0.35">
      <c r="C15" s="214">
        <v>46173</v>
      </c>
      <c r="D15" s="207">
        <v>280.7</v>
      </c>
      <c r="E15" s="186">
        <f t="shared" si="0"/>
        <v>-2.1610317183687666E-2</v>
      </c>
      <c r="F15" s="214"/>
      <c r="G15" s="207">
        <v>1386.2</v>
      </c>
      <c r="H15" s="186">
        <f t="shared" si="1"/>
        <v>-2.4832922968694993E-2</v>
      </c>
      <c r="I15" s="214"/>
      <c r="J15" s="207">
        <v>998</v>
      </c>
      <c r="K15" s="186">
        <f t="shared" si="2"/>
        <v>-3.0409015836004971E-2</v>
      </c>
      <c r="L15" s="214"/>
      <c r="M15" s="207">
        <v>810.65</v>
      </c>
      <c r="N15" s="186">
        <f t="shared" si="3"/>
        <v>-1.3447730315200301E-2</v>
      </c>
      <c r="P15" s="207">
        <v>23366.7</v>
      </c>
      <c r="Q15" s="186">
        <f t="shared" si="4"/>
        <v>-7.6886326719113329E-3</v>
      </c>
    </row>
    <row r="16" spans="3:25" ht="43.2" x14ac:dyDescent="0.3">
      <c r="C16" s="214">
        <v>46166</v>
      </c>
      <c r="D16" s="207">
        <v>286.89999999999998</v>
      </c>
      <c r="E16" s="186">
        <f t="shared" si="0"/>
        <v>-4.9055352999668567E-2</v>
      </c>
      <c r="F16" s="214"/>
      <c r="G16" s="207">
        <v>1421.5</v>
      </c>
      <c r="H16" s="186">
        <f t="shared" si="1"/>
        <v>-1.1243060923336046E-3</v>
      </c>
      <c r="I16" s="214"/>
      <c r="J16" s="207">
        <v>1029.3</v>
      </c>
      <c r="K16" s="186">
        <f t="shared" si="2"/>
        <v>1.7518248175181217E-3</v>
      </c>
      <c r="L16" s="214"/>
      <c r="M16" s="207">
        <v>821.7</v>
      </c>
      <c r="N16" s="186">
        <f t="shared" si="3"/>
        <v>-3.3355570380253496E-3</v>
      </c>
      <c r="P16" s="207">
        <v>23547.75</v>
      </c>
      <c r="Q16" s="186">
        <f t="shared" si="4"/>
        <v>-7.2325068615008981E-3</v>
      </c>
      <c r="T16" s="220" t="s">
        <v>117</v>
      </c>
      <c r="U16" s="221" t="s">
        <v>571</v>
      </c>
      <c r="V16" s="222" t="s">
        <v>585</v>
      </c>
      <c r="W16" s="223" t="s">
        <v>586</v>
      </c>
      <c r="X16" s="222" t="s">
        <v>574</v>
      </c>
      <c r="Y16" s="224" t="s">
        <v>587</v>
      </c>
    </row>
    <row r="17" spans="3:25" x14ac:dyDescent="0.3">
      <c r="C17" s="214">
        <v>46159</v>
      </c>
      <c r="D17" s="207">
        <v>301.7</v>
      </c>
      <c r="E17" s="186">
        <f t="shared" si="0"/>
        <v>-2.5044433672644972E-2</v>
      </c>
      <c r="F17" s="214"/>
      <c r="G17" s="207">
        <v>1423.1</v>
      </c>
      <c r="H17" s="186">
        <f t="shared" si="1"/>
        <v>-5.1730164278225299E-3</v>
      </c>
      <c r="I17" s="214"/>
      <c r="J17" s="207">
        <v>1027.5</v>
      </c>
      <c r="K17" s="186">
        <f t="shared" si="2"/>
        <v>-1.1258660508083218E-2</v>
      </c>
      <c r="L17" s="214"/>
      <c r="M17" s="207">
        <v>824.45</v>
      </c>
      <c r="N17" s="186">
        <f t="shared" si="3"/>
        <v>-1.9853771622183825E-2</v>
      </c>
      <c r="P17" s="207">
        <v>23719.3</v>
      </c>
      <c r="Q17" s="186">
        <f t="shared" si="4"/>
        <v>3.2059551250871454E-3</v>
      </c>
      <c r="T17" s="217" t="str">
        <f t="shared" ref="T17:U20" si="5">T5</f>
        <v>ITC</v>
      </c>
      <c r="U17" s="225">
        <f t="shared" si="5"/>
        <v>0.5483700137953792</v>
      </c>
      <c r="V17" s="226">
        <v>0.75</v>
      </c>
      <c r="W17" s="227">
        <v>0.25</v>
      </c>
      <c r="X17" s="228">
        <v>1</v>
      </c>
      <c r="Y17" s="218">
        <f>(U17*V17)+(X17*W17)</f>
        <v>0.66127751034653437</v>
      </c>
    </row>
    <row r="18" spans="3:25" x14ac:dyDescent="0.3">
      <c r="C18" s="214">
        <v>46152</v>
      </c>
      <c r="D18" s="207">
        <v>309.45</v>
      </c>
      <c r="E18" s="186">
        <f t="shared" si="0"/>
        <v>6.5051227841925741E-3</v>
      </c>
      <c r="F18" s="214"/>
      <c r="G18" s="207">
        <v>1430.5</v>
      </c>
      <c r="H18" s="186">
        <f t="shared" si="1"/>
        <v>-3.5010793308149046E-2</v>
      </c>
      <c r="I18" s="214"/>
      <c r="J18" s="207">
        <v>1039.2</v>
      </c>
      <c r="K18" s="186">
        <f t="shared" si="2"/>
        <v>-3.0698388334612359E-3</v>
      </c>
      <c r="L18" s="214"/>
      <c r="M18" s="207">
        <v>841.15</v>
      </c>
      <c r="N18" s="186">
        <f t="shared" si="3"/>
        <v>1.1848911343678603E-2</v>
      </c>
      <c r="P18" s="207">
        <v>23643.5</v>
      </c>
      <c r="Q18" s="186">
        <f t="shared" si="4"/>
        <v>-2.2032043977225579E-2</v>
      </c>
      <c r="T18" s="217" t="str">
        <f t="shared" si="5"/>
        <v>Nestle</v>
      </c>
      <c r="U18" s="225">
        <f t="shared" si="5"/>
        <v>0.63043235832038602</v>
      </c>
      <c r="V18" s="226">
        <v>0.75</v>
      </c>
      <c r="W18" s="227">
        <v>0.25</v>
      </c>
      <c r="X18" s="228">
        <v>1</v>
      </c>
      <c r="Y18" s="218">
        <f>(U18*V18)+(X18*W18)</f>
        <v>0.72282426874028949</v>
      </c>
    </row>
    <row r="19" spans="3:25" x14ac:dyDescent="0.3">
      <c r="C19" s="214">
        <v>46145</v>
      </c>
      <c r="D19" s="207">
        <v>307.45</v>
      </c>
      <c r="E19" s="186">
        <f t="shared" si="0"/>
        <v>-2.3658304223562965E-2</v>
      </c>
      <c r="F19" s="214"/>
      <c r="G19" s="207">
        <v>1482.4</v>
      </c>
      <c r="H19" s="186">
        <f t="shared" si="1"/>
        <v>1.6317016317016542E-2</v>
      </c>
      <c r="I19" s="214"/>
      <c r="J19" s="207">
        <v>1042.4000000000001</v>
      </c>
      <c r="K19" s="186">
        <f t="shared" si="2"/>
        <v>-2.3146846593571246E-2</v>
      </c>
      <c r="L19" s="214"/>
      <c r="M19" s="207">
        <v>831.3</v>
      </c>
      <c r="N19" s="186">
        <f t="shared" si="3"/>
        <v>7.2645161290322502E-2</v>
      </c>
      <c r="P19" s="207">
        <v>24176.15</v>
      </c>
      <c r="Q19" s="186">
        <f t="shared" si="4"/>
        <v>7.4424264143633234E-3</v>
      </c>
      <c r="T19" s="217" t="str">
        <f t="shared" si="5"/>
        <v>Godrej</v>
      </c>
      <c r="U19" s="225">
        <f t="shared" si="5"/>
        <v>0.75183996144048126</v>
      </c>
      <c r="V19" s="226">
        <v>0.75</v>
      </c>
      <c r="W19" s="229">
        <v>0.25</v>
      </c>
      <c r="X19" s="228">
        <v>1</v>
      </c>
      <c r="Y19" s="218">
        <f>(U19*V19)+(X19*W19)</f>
        <v>0.81387997108036092</v>
      </c>
    </row>
    <row r="20" spans="3:25" x14ac:dyDescent="0.3">
      <c r="C20" s="214">
        <v>46138</v>
      </c>
      <c r="D20" s="207">
        <v>314.89999999999998</v>
      </c>
      <c r="E20" s="186">
        <f t="shared" si="0"/>
        <v>4.4098143236074083E-2</v>
      </c>
      <c r="F20" s="214"/>
      <c r="G20" s="207">
        <v>1458.6</v>
      </c>
      <c r="H20" s="186">
        <f t="shared" si="1"/>
        <v>2.624357982129033E-2</v>
      </c>
      <c r="I20" s="214"/>
      <c r="J20" s="207">
        <v>1067.0999999999999</v>
      </c>
      <c r="K20" s="186">
        <f t="shared" si="2"/>
        <v>-2.0919350399119296E-2</v>
      </c>
      <c r="L20" s="214"/>
      <c r="M20" s="207">
        <v>775</v>
      </c>
      <c r="N20" s="186">
        <f t="shared" si="3"/>
        <v>-1.059619558279068E-2</v>
      </c>
      <c r="P20" s="207">
        <v>23997.55</v>
      </c>
      <c r="Q20" s="186">
        <f t="shared" si="4"/>
        <v>4.167721499124255E-3</v>
      </c>
      <c r="T20" s="217" t="str">
        <f t="shared" si="5"/>
        <v>Marico</v>
      </c>
      <c r="U20" s="225">
        <f t="shared" si="5"/>
        <v>0.4249705340057075</v>
      </c>
      <c r="V20" s="226">
        <v>0.75</v>
      </c>
      <c r="W20" s="227">
        <v>0.25</v>
      </c>
      <c r="X20" s="228">
        <v>1</v>
      </c>
      <c r="Y20" s="218">
        <f>(U20*V20)+(X20*W20)</f>
        <v>0.56872790050428068</v>
      </c>
    </row>
    <row r="21" spans="3:25" ht="15" thickBot="1" x14ac:dyDescent="0.35">
      <c r="C21" s="214">
        <v>46131</v>
      </c>
      <c r="D21" s="207">
        <v>301.60000000000002</v>
      </c>
      <c r="E21" s="186">
        <f t="shared" si="0"/>
        <v>-1.6949152542372836E-2</v>
      </c>
      <c r="F21" s="214"/>
      <c r="G21" s="207">
        <v>1421.3</v>
      </c>
      <c r="H21" s="186">
        <f t="shared" si="1"/>
        <v>0.10555382700684501</v>
      </c>
      <c r="I21" s="214"/>
      <c r="J21" s="207">
        <v>1089.9000000000001</v>
      </c>
      <c r="K21" s="186">
        <f t="shared" si="2"/>
        <v>-1.7577068685776132E-2</v>
      </c>
      <c r="L21" s="214"/>
      <c r="M21" s="207">
        <v>783.3</v>
      </c>
      <c r="N21" s="186">
        <f t="shared" si="3"/>
        <v>3.4332497028918496E-2</v>
      </c>
      <c r="P21" s="207">
        <v>23897.95</v>
      </c>
      <c r="Q21" s="186">
        <f t="shared" si="4"/>
        <v>-1.8707744866764742E-2</v>
      </c>
      <c r="T21" s="205"/>
      <c r="U21" s="230"/>
      <c r="V21" s="231"/>
      <c r="W21" s="232"/>
      <c r="X21" s="233"/>
      <c r="Y21" s="219"/>
    </row>
    <row r="22" spans="3:25" x14ac:dyDescent="0.3">
      <c r="C22" s="214">
        <v>46124</v>
      </c>
      <c r="D22" s="207">
        <v>306.8</v>
      </c>
      <c r="E22" s="186">
        <f t="shared" si="0"/>
        <v>8.3812654067378922E-3</v>
      </c>
      <c r="F22" s="214"/>
      <c r="G22" s="207">
        <v>1285.5999999999999</v>
      </c>
      <c r="H22" s="186">
        <f t="shared" si="1"/>
        <v>2.9056271512046816E-2</v>
      </c>
      <c r="I22" s="214"/>
      <c r="J22" s="207">
        <v>1109.4000000000001</v>
      </c>
      <c r="K22" s="186">
        <f t="shared" si="2"/>
        <v>2.903255727669074E-2</v>
      </c>
      <c r="L22" s="214"/>
      <c r="M22" s="207">
        <v>757.3</v>
      </c>
      <c r="N22" s="186">
        <f t="shared" si="3"/>
        <v>-7.7956108745497188E-3</v>
      </c>
      <c r="P22" s="207">
        <v>24353.55</v>
      </c>
      <c r="Q22" s="186">
        <f t="shared" si="4"/>
        <v>1.2596359342386565E-2</v>
      </c>
    </row>
    <row r="23" spans="3:25" x14ac:dyDescent="0.3">
      <c r="C23" s="214">
        <v>46117</v>
      </c>
      <c r="D23" s="207">
        <v>304.25</v>
      </c>
      <c r="E23" s="186">
        <f t="shared" si="0"/>
        <v>3.8927778726310258E-2</v>
      </c>
      <c r="F23" s="214"/>
      <c r="G23" s="207">
        <v>1249.3</v>
      </c>
      <c r="H23" s="186">
        <f t="shared" si="1"/>
        <v>4.8686309074120748E-2</v>
      </c>
      <c r="I23" s="214"/>
      <c r="J23" s="207">
        <v>1078.0999999999999</v>
      </c>
      <c r="K23" s="186">
        <f t="shared" si="2"/>
        <v>8.3735424205870546E-2</v>
      </c>
      <c r="L23" s="214"/>
      <c r="M23" s="207">
        <v>763.25</v>
      </c>
      <c r="N23" s="186">
        <f t="shared" si="3"/>
        <v>2.4955670847834899E-3</v>
      </c>
      <c r="P23" s="207">
        <v>24050.6</v>
      </c>
      <c r="Q23" s="186">
        <f t="shared" si="4"/>
        <v>5.8886721759689342E-2</v>
      </c>
    </row>
    <row r="24" spans="3:25" x14ac:dyDescent="0.3">
      <c r="C24" s="214">
        <v>46110</v>
      </c>
      <c r="D24" s="207">
        <v>292.85000000000002</v>
      </c>
      <c r="E24" s="186">
        <f t="shared" si="0"/>
        <v>-6.2775704105869634E-3</v>
      </c>
      <c r="F24" s="214"/>
      <c r="G24" s="207">
        <v>1191.3</v>
      </c>
      <c r="H24" s="186">
        <f t="shared" si="1"/>
        <v>-1.5923566878981443E-3</v>
      </c>
      <c r="I24" s="214"/>
      <c r="J24" s="207">
        <v>994.8</v>
      </c>
      <c r="K24" s="186">
        <f t="shared" si="2"/>
        <v>-1.3780113016754303E-2</v>
      </c>
      <c r="L24" s="214"/>
      <c r="M24" s="207">
        <v>761.35</v>
      </c>
      <c r="N24" s="186">
        <f t="shared" si="3"/>
        <v>2.5456259680786575E-2</v>
      </c>
      <c r="P24" s="207">
        <v>22713.1</v>
      </c>
      <c r="Q24" s="186">
        <f t="shared" si="4"/>
        <v>-4.6670406142088616E-3</v>
      </c>
    </row>
    <row r="25" spans="3:25" x14ac:dyDescent="0.3">
      <c r="C25" s="214">
        <v>46103</v>
      </c>
      <c r="D25" s="207">
        <v>294.7</v>
      </c>
      <c r="E25" s="186">
        <f t="shared" si="0"/>
        <v>-1.7502917152858788E-2</v>
      </c>
      <c r="F25" s="214"/>
      <c r="G25" s="207">
        <v>1193.2</v>
      </c>
      <c r="H25" s="186">
        <f t="shared" si="1"/>
        <v>-3.3512064343155235E-4</v>
      </c>
      <c r="I25" s="214"/>
      <c r="J25" s="207">
        <v>1008.7</v>
      </c>
      <c r="K25" s="186">
        <f t="shared" si="2"/>
        <v>-8.7460691823899595E-3</v>
      </c>
      <c r="L25" s="214"/>
      <c r="M25" s="207">
        <v>742.45</v>
      </c>
      <c r="N25" s="186">
        <f t="shared" si="3"/>
        <v>-2.4855568990996835E-3</v>
      </c>
      <c r="P25" s="207">
        <v>22819.599999999999</v>
      </c>
      <c r="Q25" s="186">
        <f t="shared" si="4"/>
        <v>-1.275822535637805E-2</v>
      </c>
    </row>
    <row r="26" spans="3:25" x14ac:dyDescent="0.3">
      <c r="C26" s="214">
        <v>46096</v>
      </c>
      <c r="D26" s="207">
        <v>299.95</v>
      </c>
      <c r="E26" s="186">
        <f t="shared" si="0"/>
        <v>-4.9759495770442808E-3</v>
      </c>
      <c r="F26" s="214"/>
      <c r="G26" s="207">
        <v>1193.5999999999999</v>
      </c>
      <c r="H26" s="186">
        <f t="shared" si="1"/>
        <v>-7.1535518216604421E-3</v>
      </c>
      <c r="I26" s="214"/>
      <c r="J26" s="207">
        <v>1017.6</v>
      </c>
      <c r="K26" s="186">
        <f t="shared" si="2"/>
        <v>-1.0020430002918634E-2</v>
      </c>
      <c r="L26" s="214"/>
      <c r="M26" s="207">
        <v>744.3</v>
      </c>
      <c r="N26" s="186">
        <f t="shared" si="3"/>
        <v>-1.0765550239234534E-2</v>
      </c>
      <c r="P26" s="207">
        <v>23114.5</v>
      </c>
      <c r="Q26" s="186">
        <f t="shared" si="4"/>
        <v>-1.5809184012853805E-3</v>
      </c>
    </row>
    <row r="27" spans="3:25" x14ac:dyDescent="0.3">
      <c r="C27" s="214">
        <v>46089</v>
      </c>
      <c r="D27" s="207">
        <v>301.45</v>
      </c>
      <c r="E27" s="186">
        <f t="shared" si="0"/>
        <v>-2.6638682596060725E-2</v>
      </c>
      <c r="F27" s="214"/>
      <c r="G27" s="207">
        <v>1202.2</v>
      </c>
      <c r="H27" s="186">
        <f t="shared" si="1"/>
        <v>-4.0083040562120753E-2</v>
      </c>
      <c r="I27" s="214"/>
      <c r="J27" s="207">
        <v>1027.9000000000001</v>
      </c>
      <c r="K27" s="186">
        <f t="shared" si="2"/>
        <v>-7.9437578362887229E-2</v>
      </c>
      <c r="L27" s="214"/>
      <c r="M27" s="207">
        <v>752.4</v>
      </c>
      <c r="N27" s="186">
        <f t="shared" si="3"/>
        <v>-4.1833810888252221E-2</v>
      </c>
      <c r="P27" s="207">
        <v>23151.1</v>
      </c>
      <c r="Q27" s="186">
        <f t="shared" si="4"/>
        <v>-5.3142171207482991E-2</v>
      </c>
    </row>
    <row r="28" spans="3:25" x14ac:dyDescent="0.3">
      <c r="C28" s="214">
        <v>46082</v>
      </c>
      <c r="D28" s="207">
        <v>309.7</v>
      </c>
      <c r="E28" s="186">
        <f t="shared" si="0"/>
        <v>-1.2436224489795977E-2</v>
      </c>
      <c r="F28" s="214"/>
      <c r="G28" s="207">
        <v>1252.4000000000001</v>
      </c>
      <c r="H28" s="186">
        <f t="shared" si="1"/>
        <v>-3.0425021289773091E-2</v>
      </c>
      <c r="I28" s="214"/>
      <c r="J28" s="207">
        <v>1116.5999999999999</v>
      </c>
      <c r="K28" s="186">
        <f t="shared" si="2"/>
        <v>-8.2874743326488809E-2</v>
      </c>
      <c r="L28" s="214"/>
      <c r="M28" s="207">
        <v>785.25</v>
      </c>
      <c r="N28" s="186">
        <f t="shared" si="3"/>
        <v>-4.3111646484498278E-3</v>
      </c>
      <c r="P28" s="207">
        <v>24450.45</v>
      </c>
      <c r="Q28" s="186">
        <f t="shared" si="4"/>
        <v>-2.892132818876314E-2</v>
      </c>
    </row>
    <row r="29" spans="3:25" x14ac:dyDescent="0.3">
      <c r="C29" s="214">
        <v>46075</v>
      </c>
      <c r="D29" s="207">
        <v>313.60000000000002</v>
      </c>
      <c r="E29" s="186">
        <f t="shared" si="0"/>
        <v>-4.0978593272171238E-2</v>
      </c>
      <c r="F29" s="214"/>
      <c r="G29" s="207">
        <v>1291.7</v>
      </c>
      <c r="H29" s="186">
        <f t="shared" si="1"/>
        <v>-1.623125676302295E-3</v>
      </c>
      <c r="I29" s="214"/>
      <c r="J29" s="207">
        <v>1217.5</v>
      </c>
      <c r="K29" s="186">
        <f t="shared" si="2"/>
        <v>9.6193714238328454E-3</v>
      </c>
      <c r="L29" s="214"/>
      <c r="M29" s="207">
        <v>788.65</v>
      </c>
      <c r="N29" s="186">
        <f t="shared" si="3"/>
        <v>5.7092108601874969E-4</v>
      </c>
      <c r="P29" s="207">
        <v>25178.65</v>
      </c>
      <c r="Q29" s="186">
        <f t="shared" si="4"/>
        <v>-1.5353179840641329E-2</v>
      </c>
    </row>
    <row r="30" spans="3:25" x14ac:dyDescent="0.3">
      <c r="C30" s="214">
        <v>46068</v>
      </c>
      <c r="D30" s="207">
        <v>327</v>
      </c>
      <c r="E30" s="186">
        <f t="shared" si="0"/>
        <v>4.2231075697211073E-2</v>
      </c>
      <c r="F30" s="214"/>
      <c r="G30" s="207">
        <v>1293.8</v>
      </c>
      <c r="H30" s="186">
        <f t="shared" si="1"/>
        <v>8.732262591610862E-3</v>
      </c>
      <c r="I30" s="214"/>
      <c r="J30" s="207">
        <v>1205.9000000000001</v>
      </c>
      <c r="K30" s="186">
        <f t="shared" si="2"/>
        <v>8.7836707378283752E-3</v>
      </c>
      <c r="L30" s="214"/>
      <c r="M30" s="207">
        <v>788.2</v>
      </c>
      <c r="N30" s="186">
        <f t="shared" si="3"/>
        <v>3.6900611721370824E-2</v>
      </c>
      <c r="P30" s="207">
        <v>25571.25</v>
      </c>
      <c r="Q30" s="186">
        <f t="shared" si="4"/>
        <v>3.9319071418195684E-3</v>
      </c>
    </row>
    <row r="31" spans="3:25" x14ac:dyDescent="0.3">
      <c r="C31" s="214">
        <v>46061</v>
      </c>
      <c r="D31" s="207">
        <v>313.75</v>
      </c>
      <c r="E31" s="186">
        <f t="shared" si="0"/>
        <v>-3.6985880908532831E-2</v>
      </c>
      <c r="F31" s="214"/>
      <c r="G31" s="207">
        <v>1282.5999999999999</v>
      </c>
      <c r="H31" s="186">
        <f t="shared" si="1"/>
        <v>-1.5882759149850378E-2</v>
      </c>
      <c r="I31" s="214"/>
      <c r="J31" s="207">
        <v>1195.4000000000001</v>
      </c>
      <c r="K31" s="186">
        <f t="shared" si="2"/>
        <v>1.1507869351836231E-2</v>
      </c>
      <c r="L31" s="214"/>
      <c r="M31" s="207">
        <v>760.15</v>
      </c>
      <c r="N31" s="186">
        <f t="shared" si="3"/>
        <v>9.8306210561274199E-3</v>
      </c>
      <c r="P31" s="207">
        <v>25471.1</v>
      </c>
      <c r="Q31" s="186">
        <f t="shared" si="4"/>
        <v>-8.6636023616685209E-3</v>
      </c>
    </row>
    <row r="32" spans="3:25" x14ac:dyDescent="0.3">
      <c r="C32" s="214">
        <v>46054</v>
      </c>
      <c r="D32" s="207">
        <v>325.8</v>
      </c>
      <c r="E32" s="186">
        <f t="shared" si="0"/>
        <v>1.1330125717833317E-2</v>
      </c>
      <c r="F32" s="214"/>
      <c r="G32" s="207">
        <v>1303.3</v>
      </c>
      <c r="H32" s="186">
        <f t="shared" si="1"/>
        <v>-2.1840288201741331E-2</v>
      </c>
      <c r="I32" s="214"/>
      <c r="J32" s="207">
        <v>1181.8</v>
      </c>
      <c r="K32" s="186">
        <f t="shared" si="2"/>
        <v>2.4001386361667043E-2</v>
      </c>
      <c r="L32" s="214"/>
      <c r="M32" s="207">
        <v>752.75</v>
      </c>
      <c r="N32" s="186">
        <f t="shared" si="3"/>
        <v>3.1446971773088528E-2</v>
      </c>
      <c r="P32" s="207">
        <v>25693.7</v>
      </c>
      <c r="Q32" s="186">
        <f t="shared" si="4"/>
        <v>1.4733034104574605E-2</v>
      </c>
    </row>
    <row r="33" spans="3:17" x14ac:dyDescent="0.3">
      <c r="C33" s="214">
        <v>46047</v>
      </c>
      <c r="D33" s="207">
        <v>322.14999999999998</v>
      </c>
      <c r="E33" s="186">
        <f t="shared" si="0"/>
        <v>-3.8651824366110477E-3</v>
      </c>
      <c r="F33" s="214"/>
      <c r="G33" s="207">
        <v>1332.4</v>
      </c>
      <c r="H33" s="186">
        <f t="shared" si="1"/>
        <v>2.9834595764415051E-2</v>
      </c>
      <c r="I33" s="214"/>
      <c r="J33" s="207">
        <v>1154.0999999999999</v>
      </c>
      <c r="K33" s="186">
        <f t="shared" si="2"/>
        <v>-6.9574330861012723E-2</v>
      </c>
      <c r="L33" s="214"/>
      <c r="M33" s="207">
        <v>729.8</v>
      </c>
      <c r="N33" s="186">
        <f t="shared" si="3"/>
        <v>-1.5048248869694469E-2</v>
      </c>
      <c r="P33" s="207">
        <v>25320.65</v>
      </c>
      <c r="Q33" s="186">
        <f t="shared" si="4"/>
        <v>1.0858868641623332E-2</v>
      </c>
    </row>
    <row r="34" spans="3:17" x14ac:dyDescent="0.3">
      <c r="C34" s="214">
        <v>46040</v>
      </c>
      <c r="D34" s="207">
        <v>323.39999999999998</v>
      </c>
      <c r="E34" s="186">
        <f t="shared" si="0"/>
        <v>-1.761846901579589E-2</v>
      </c>
      <c r="F34" s="214"/>
      <c r="G34" s="207">
        <v>1293.8</v>
      </c>
      <c r="H34" s="186">
        <f t="shared" si="1"/>
        <v>-1.6794589254502723E-2</v>
      </c>
      <c r="I34" s="214"/>
      <c r="J34" s="207">
        <v>1240.4000000000001</v>
      </c>
      <c r="K34" s="186">
        <f t="shared" si="2"/>
        <v>2.8296547821164975E-3</v>
      </c>
      <c r="L34" s="214"/>
      <c r="M34" s="207">
        <v>740.95</v>
      </c>
      <c r="N34" s="186">
        <f t="shared" si="3"/>
        <v>-2.5258172729066497E-2</v>
      </c>
      <c r="P34" s="207">
        <v>25048.65</v>
      </c>
      <c r="Q34" s="186">
        <f t="shared" si="4"/>
        <v>-2.5130038315816394E-2</v>
      </c>
    </row>
    <row r="35" spans="3:17" x14ac:dyDescent="0.3">
      <c r="C35" s="214">
        <v>46033</v>
      </c>
      <c r="D35" s="207">
        <v>329.2</v>
      </c>
      <c r="E35" s="186">
        <f t="shared" si="0"/>
        <v>-2.3580008898116511E-2</v>
      </c>
      <c r="F35" s="214"/>
      <c r="G35" s="207">
        <v>1315.9</v>
      </c>
      <c r="H35" s="186">
        <f t="shared" si="1"/>
        <v>1.2932029866830952E-2</v>
      </c>
      <c r="I35" s="214"/>
      <c r="J35" s="207">
        <v>1236.9000000000001</v>
      </c>
      <c r="K35" s="186">
        <f t="shared" si="2"/>
        <v>5.9368900455434304E-3</v>
      </c>
      <c r="L35" s="214"/>
      <c r="M35" s="207">
        <v>760.15</v>
      </c>
      <c r="N35" s="186">
        <f t="shared" si="3"/>
        <v>8.8924281637798863E-3</v>
      </c>
      <c r="P35" s="207">
        <v>25694.35</v>
      </c>
      <c r="Q35" s="186">
        <f t="shared" si="4"/>
        <v>4.3024066222008273E-4</v>
      </c>
    </row>
    <row r="36" spans="3:17" x14ac:dyDescent="0.3">
      <c r="C36" s="214">
        <v>46026</v>
      </c>
      <c r="D36" s="207">
        <v>337.15</v>
      </c>
      <c r="E36" s="186">
        <f t="shared" si="0"/>
        <v>-3.6851878303099661E-2</v>
      </c>
      <c r="F36" s="214"/>
      <c r="G36" s="207">
        <v>1299.0999999999999</v>
      </c>
      <c r="H36" s="186">
        <f t="shared" si="1"/>
        <v>1.5159803078846457E-2</v>
      </c>
      <c r="I36" s="214"/>
      <c r="J36" s="207">
        <v>1229.5999999999999</v>
      </c>
      <c r="K36" s="186">
        <f t="shared" si="2"/>
        <v>-4.5336787564768111E-3</v>
      </c>
      <c r="L36" s="214"/>
      <c r="M36" s="207">
        <v>753.45</v>
      </c>
      <c r="N36" s="186">
        <f t="shared" si="3"/>
        <v>-5.6746948201913394E-3</v>
      </c>
      <c r="P36" s="207">
        <v>25683.3</v>
      </c>
      <c r="Q36" s="186">
        <f t="shared" si="4"/>
        <v>-2.4507616256877029E-2</v>
      </c>
    </row>
    <row r="37" spans="3:17" x14ac:dyDescent="0.3">
      <c r="C37" s="214">
        <v>46019</v>
      </c>
      <c r="D37" s="207">
        <v>350.05</v>
      </c>
      <c r="E37" s="186">
        <f t="shared" si="0"/>
        <v>-0.13386119015217113</v>
      </c>
      <c r="F37" s="214"/>
      <c r="G37" s="207">
        <v>1279.7</v>
      </c>
      <c r="H37" s="186">
        <f t="shared" si="1"/>
        <v>5.5791293415057286E-3</v>
      </c>
      <c r="I37" s="214"/>
      <c r="J37" s="207">
        <v>1235.2</v>
      </c>
      <c r="K37" s="186">
        <f t="shared" si="2"/>
        <v>2.4042447355330898E-2</v>
      </c>
      <c r="L37" s="214"/>
      <c r="M37" s="207">
        <v>757.75</v>
      </c>
      <c r="N37" s="186">
        <f t="shared" si="3"/>
        <v>1.9440333647248842E-2</v>
      </c>
      <c r="P37" s="207">
        <v>26328.55</v>
      </c>
      <c r="Q37" s="186">
        <f t="shared" si="4"/>
        <v>1.0991732681061128E-2</v>
      </c>
    </row>
    <row r="38" spans="3:17" x14ac:dyDescent="0.3">
      <c r="C38" s="214">
        <v>46012</v>
      </c>
      <c r="D38" s="207">
        <v>404.15</v>
      </c>
      <c r="E38" s="186">
        <f t="shared" si="0"/>
        <v>7.7297095125294923E-3</v>
      </c>
      <c r="F38" s="214"/>
      <c r="G38" s="207">
        <v>1272.5999999999999</v>
      </c>
      <c r="H38" s="186">
        <f t="shared" si="1"/>
        <v>2.2661523625843616E-2</v>
      </c>
      <c r="I38" s="214"/>
      <c r="J38" s="207">
        <v>1206.2</v>
      </c>
      <c r="K38" s="186">
        <f t="shared" si="2"/>
        <v>1.6860563142808926E-2</v>
      </c>
      <c r="L38" s="214"/>
      <c r="M38" s="207">
        <v>743.3</v>
      </c>
      <c r="N38" s="186">
        <f t="shared" si="3"/>
        <v>2.8332433890987385E-3</v>
      </c>
      <c r="P38" s="207">
        <v>26042.3</v>
      </c>
      <c r="Q38" s="186">
        <f t="shared" si="4"/>
        <v>2.9230081952060782E-3</v>
      </c>
    </row>
    <row r="39" spans="3:17" x14ac:dyDescent="0.3">
      <c r="C39" s="214">
        <v>46005</v>
      </c>
      <c r="D39" s="207">
        <v>401.05</v>
      </c>
      <c r="E39" s="186">
        <f t="shared" si="0"/>
        <v>2.3744063984003638E-3</v>
      </c>
      <c r="F39" s="214"/>
      <c r="G39" s="207">
        <v>1244.4000000000001</v>
      </c>
      <c r="H39" s="186">
        <f t="shared" si="1"/>
        <v>4.9261083743843415E-3</v>
      </c>
      <c r="I39" s="214"/>
      <c r="J39" s="207">
        <v>1186.2</v>
      </c>
      <c r="K39" s="186">
        <f t="shared" si="2"/>
        <v>2.808112324492984E-2</v>
      </c>
      <c r="L39" s="214"/>
      <c r="M39" s="207">
        <v>741.2</v>
      </c>
      <c r="N39" s="186">
        <f t="shared" si="3"/>
        <v>1.9462210301905092E-2</v>
      </c>
      <c r="P39" s="207">
        <v>25966.400000000001</v>
      </c>
      <c r="Q39" s="186">
        <f t="shared" si="4"/>
        <v>-3.0924925951022475E-3</v>
      </c>
    </row>
    <row r="40" spans="3:17" x14ac:dyDescent="0.3">
      <c r="C40" s="214">
        <v>45998</v>
      </c>
      <c r="D40" s="207">
        <v>400.1</v>
      </c>
      <c r="E40" s="186">
        <f t="shared" si="0"/>
        <v>-1.1976787257686028E-2</v>
      </c>
      <c r="F40" s="214"/>
      <c r="G40" s="207">
        <v>1238.3</v>
      </c>
      <c r="H40" s="186">
        <f t="shared" si="1"/>
        <v>-6.8971048199536478E-3</v>
      </c>
      <c r="I40" s="214"/>
      <c r="J40" s="207">
        <v>1153.8</v>
      </c>
      <c r="K40" s="186">
        <f t="shared" si="2"/>
        <v>1.5669014084507049E-2</v>
      </c>
      <c r="L40" s="214"/>
      <c r="M40" s="207">
        <v>727.05</v>
      </c>
      <c r="N40" s="186">
        <f t="shared" si="3"/>
        <v>-1.3031969049073555E-2</v>
      </c>
      <c r="P40" s="207">
        <v>26046.95</v>
      </c>
      <c r="Q40" s="186">
        <f t="shared" si="4"/>
        <v>-5.3271825696113995E-3</v>
      </c>
    </row>
    <row r="41" spans="3:17" x14ac:dyDescent="0.3">
      <c r="C41" s="214">
        <v>45991</v>
      </c>
      <c r="D41" s="207">
        <v>404.95</v>
      </c>
      <c r="E41" s="186">
        <f t="shared" si="0"/>
        <v>1.7316017316018062E-3</v>
      </c>
      <c r="F41" s="214"/>
      <c r="G41" s="207">
        <v>1246.9000000000001</v>
      </c>
      <c r="H41" s="186">
        <f t="shared" si="1"/>
        <v>-1.1260011101419276E-2</v>
      </c>
      <c r="I41" s="214"/>
      <c r="J41" s="207">
        <v>1136</v>
      </c>
      <c r="K41" s="186">
        <f t="shared" si="2"/>
        <v>-8.379888268156388E-3</v>
      </c>
      <c r="L41" s="214"/>
      <c r="M41" s="207">
        <v>736.65</v>
      </c>
      <c r="N41" s="186">
        <f t="shared" si="3"/>
        <v>2.6833008084750531E-2</v>
      </c>
      <c r="P41" s="207">
        <v>26186.45</v>
      </c>
      <c r="Q41" s="186">
        <f t="shared" si="4"/>
        <v>-6.297000910202577E-4</v>
      </c>
    </row>
    <row r="42" spans="3:17" x14ac:dyDescent="0.3">
      <c r="C42" s="214">
        <v>45984</v>
      </c>
      <c r="D42" s="207">
        <v>404.25</v>
      </c>
      <c r="E42" s="186">
        <f t="shared" si="0"/>
        <v>-8.8267745494667871E-3</v>
      </c>
      <c r="F42" s="214"/>
      <c r="G42" s="207">
        <v>1261.0999999999999</v>
      </c>
      <c r="H42" s="186">
        <f t="shared" si="1"/>
        <v>-1.5304130553603579E-2</v>
      </c>
      <c r="I42" s="214"/>
      <c r="J42" s="207">
        <v>1145.5999999999999</v>
      </c>
      <c r="K42" s="186">
        <f t="shared" si="2"/>
        <v>1.8130110202630556E-2</v>
      </c>
      <c r="L42" s="214"/>
      <c r="M42" s="207">
        <v>717.4</v>
      </c>
      <c r="N42" s="186">
        <f t="shared" si="3"/>
        <v>-3.040951479929721E-2</v>
      </c>
      <c r="P42" s="207">
        <v>26202.95</v>
      </c>
      <c r="Q42" s="186">
        <f t="shared" si="4"/>
        <v>5.1710612375637233E-3</v>
      </c>
    </row>
    <row r="43" spans="3:17" x14ac:dyDescent="0.3">
      <c r="C43" s="214">
        <v>45977</v>
      </c>
      <c r="D43" s="207">
        <v>407.85</v>
      </c>
      <c r="E43" s="186">
        <f t="shared" si="0"/>
        <v>-7.3502388827628717E-4</v>
      </c>
      <c r="F43" s="214"/>
      <c r="G43" s="207">
        <v>1280.7</v>
      </c>
      <c r="H43" s="186">
        <f t="shared" si="1"/>
        <v>7.1563384712174383E-3</v>
      </c>
      <c r="I43" s="214"/>
      <c r="J43" s="207">
        <v>1125.2</v>
      </c>
      <c r="K43" s="186">
        <f t="shared" si="2"/>
        <v>-1.8578281726995161E-2</v>
      </c>
      <c r="L43" s="214"/>
      <c r="M43" s="207">
        <v>739.9</v>
      </c>
      <c r="N43" s="186">
        <f t="shared" si="3"/>
        <v>1.6244754298089248E-3</v>
      </c>
      <c r="P43" s="207">
        <v>26068.15</v>
      </c>
      <c r="Q43" s="186">
        <f t="shared" si="4"/>
        <v>6.1018793865701415E-3</v>
      </c>
    </row>
    <row r="44" spans="3:17" x14ac:dyDescent="0.3">
      <c r="C44" s="214">
        <v>45970</v>
      </c>
      <c r="D44" s="207">
        <v>408.15</v>
      </c>
      <c r="E44" s="186">
        <f t="shared" si="0"/>
        <v>1.0147259002598608E-2</v>
      </c>
      <c r="F44" s="214"/>
      <c r="G44" s="207">
        <v>1271.5999999999999</v>
      </c>
      <c r="H44" s="186">
        <f t="shared" si="1"/>
        <v>7.048388374118808E-3</v>
      </c>
      <c r="I44" s="214"/>
      <c r="J44" s="207">
        <v>1146.5</v>
      </c>
      <c r="K44" s="186">
        <f t="shared" si="2"/>
        <v>2.2018185059725415E-2</v>
      </c>
      <c r="L44" s="214"/>
      <c r="M44" s="207">
        <v>738.7</v>
      </c>
      <c r="N44" s="186">
        <f t="shared" si="3"/>
        <v>3.8083192804946542E-2</v>
      </c>
      <c r="P44" s="207">
        <v>25910.05</v>
      </c>
      <c r="Q44" s="186">
        <f t="shared" si="4"/>
        <v>1.6387301263518728E-2</v>
      </c>
    </row>
    <row r="45" spans="3:17" x14ac:dyDescent="0.3">
      <c r="C45" s="214">
        <v>45963</v>
      </c>
      <c r="D45" s="207">
        <v>404.05</v>
      </c>
      <c r="E45" s="186">
        <f t="shared" si="0"/>
        <v>-3.8777209468300211E-2</v>
      </c>
      <c r="F45" s="214"/>
      <c r="G45" s="207">
        <v>1262.7</v>
      </c>
      <c r="H45" s="186">
        <f t="shared" si="1"/>
        <v>-6.9990563070146949E-3</v>
      </c>
      <c r="I45" s="214"/>
      <c r="J45" s="207">
        <v>1121.8</v>
      </c>
      <c r="K45" s="186">
        <f t="shared" si="2"/>
        <v>2.8607187555873548E-3</v>
      </c>
      <c r="L45" s="214"/>
      <c r="M45" s="207">
        <v>711.6</v>
      </c>
      <c r="N45" s="186">
        <f t="shared" si="3"/>
        <v>-1.1598027640808417E-2</v>
      </c>
      <c r="P45" s="207">
        <v>25492.3</v>
      </c>
      <c r="Q45" s="186">
        <f t="shared" si="4"/>
        <v>-8.9339517379996014E-3</v>
      </c>
    </row>
    <row r="46" spans="3:17" x14ac:dyDescent="0.3">
      <c r="C46" s="214">
        <v>45956</v>
      </c>
      <c r="D46" s="207">
        <v>420.35</v>
      </c>
      <c r="E46" s="186">
        <f t="shared" si="0"/>
        <v>8.5172744721688787E-3</v>
      </c>
      <c r="F46" s="214"/>
      <c r="G46" s="207">
        <v>1271.5999999999999</v>
      </c>
      <c r="H46" s="186">
        <f t="shared" si="1"/>
        <v>-8.1123244929798277E-3</v>
      </c>
      <c r="I46" s="214"/>
      <c r="J46" s="207">
        <v>1118.5999999999999</v>
      </c>
      <c r="K46" s="186">
        <f t="shared" si="2"/>
        <v>-1.0438782731776564E-2</v>
      </c>
      <c r="L46" s="214"/>
      <c r="M46" s="207">
        <v>719.95</v>
      </c>
      <c r="N46" s="186">
        <f t="shared" si="3"/>
        <v>-8.128401184817724E-3</v>
      </c>
      <c r="P46" s="207">
        <v>25722.1</v>
      </c>
      <c r="Q46" s="186">
        <f t="shared" si="4"/>
        <v>-2.8319277073404203E-3</v>
      </c>
    </row>
    <row r="47" spans="3:17" x14ac:dyDescent="0.3">
      <c r="C47" s="214">
        <v>45949</v>
      </c>
      <c r="D47" s="207">
        <v>416.8</v>
      </c>
      <c r="E47" s="186">
        <f t="shared" si="0"/>
        <v>1.1282300133446554E-2</v>
      </c>
      <c r="F47" s="214"/>
      <c r="G47" s="207">
        <v>1282</v>
      </c>
      <c r="H47" s="186">
        <f t="shared" si="1"/>
        <v>-5.8162078324932587E-3</v>
      </c>
      <c r="I47" s="214"/>
      <c r="J47" s="207">
        <v>1130.4000000000001</v>
      </c>
      <c r="K47" s="186">
        <f t="shared" si="2"/>
        <v>-1.5898251192368873E-3</v>
      </c>
      <c r="L47" s="214"/>
      <c r="M47" s="207">
        <v>725.85</v>
      </c>
      <c r="N47" s="186">
        <f t="shared" si="3"/>
        <v>-1.2650479493980793E-2</v>
      </c>
      <c r="P47" s="207">
        <v>25795.15</v>
      </c>
      <c r="Q47" s="186">
        <f t="shared" si="4"/>
        <v>3.3177945417808274E-3</v>
      </c>
    </row>
    <row r="48" spans="3:17" x14ac:dyDescent="0.3">
      <c r="C48" s="214">
        <v>45942</v>
      </c>
      <c r="D48" s="207">
        <v>412.15</v>
      </c>
      <c r="E48" s="186">
        <f t="shared" si="0"/>
        <v>2.3212512413108177E-2</v>
      </c>
      <c r="F48" s="214"/>
      <c r="G48" s="207">
        <v>1289.5</v>
      </c>
      <c r="H48" s="186">
        <f t="shared" si="1"/>
        <v>7.5031263026260842E-2</v>
      </c>
      <c r="I48" s="214"/>
      <c r="J48" s="207">
        <v>1132.2</v>
      </c>
      <c r="K48" s="186">
        <f t="shared" si="2"/>
        <v>2.1242697822623224E-3</v>
      </c>
      <c r="L48" s="214"/>
      <c r="M48" s="207">
        <v>735.15</v>
      </c>
      <c r="N48" s="186">
        <f t="shared" si="3"/>
        <v>2.9189416211675701E-2</v>
      </c>
      <c r="P48" s="207">
        <v>25709.85</v>
      </c>
      <c r="Q48" s="186">
        <f t="shared" si="4"/>
        <v>1.6788377459675319E-2</v>
      </c>
    </row>
    <row r="49" spans="3:17" x14ac:dyDescent="0.3">
      <c r="C49" s="214">
        <v>45935</v>
      </c>
      <c r="D49" s="207">
        <v>402.8</v>
      </c>
      <c r="E49" s="186">
        <f t="shared" si="0"/>
        <v>-3.7101162503091478E-3</v>
      </c>
      <c r="F49" s="214"/>
      <c r="G49" s="207">
        <v>1199.5</v>
      </c>
      <c r="H49" s="186">
        <f t="shared" si="1"/>
        <v>2.5301307804085793E-2</v>
      </c>
      <c r="I49" s="214"/>
      <c r="J49" s="207">
        <v>1129.8</v>
      </c>
      <c r="K49" s="186">
        <f t="shared" si="2"/>
        <v>-1.6710182767624038E-2</v>
      </c>
      <c r="L49" s="214"/>
      <c r="M49" s="207">
        <v>714.3</v>
      </c>
      <c r="N49" s="186">
        <f t="shared" si="3"/>
        <v>4.7120050636471067E-3</v>
      </c>
      <c r="P49" s="207">
        <v>25285.35</v>
      </c>
      <c r="Q49" s="186">
        <f t="shared" si="4"/>
        <v>1.5710455225604214E-2</v>
      </c>
    </row>
    <row r="50" spans="3:17" x14ac:dyDescent="0.3">
      <c r="C50" s="214">
        <v>45928</v>
      </c>
      <c r="D50" s="207">
        <v>404.3</v>
      </c>
      <c r="E50" s="186">
        <f t="shared" si="0"/>
        <v>-1.9748210318439874E-3</v>
      </c>
      <c r="F50" s="214"/>
      <c r="G50" s="207">
        <v>1169.9000000000001</v>
      </c>
      <c r="H50" s="186">
        <f t="shared" si="1"/>
        <v>6.2790297608810164E-3</v>
      </c>
      <c r="I50" s="214"/>
      <c r="J50" s="207">
        <v>1149</v>
      </c>
      <c r="K50" s="186">
        <f t="shared" si="2"/>
        <v>-1.2801787095111372E-2</v>
      </c>
      <c r="L50" s="214"/>
      <c r="M50" s="207">
        <v>710.95</v>
      </c>
      <c r="N50" s="186">
        <f t="shared" si="3"/>
        <v>1.8042528817928005E-2</v>
      </c>
      <c r="P50" s="207">
        <v>24894.25</v>
      </c>
      <c r="Q50" s="186">
        <f t="shared" si="4"/>
        <v>9.7162001565624934E-3</v>
      </c>
    </row>
    <row r="51" spans="3:17" x14ac:dyDescent="0.3">
      <c r="C51" s="214">
        <v>45921</v>
      </c>
      <c r="D51" s="207">
        <v>405.1</v>
      </c>
      <c r="E51" s="186">
        <f t="shared" si="0"/>
        <v>-1.3515158894435553E-2</v>
      </c>
      <c r="F51" s="214"/>
      <c r="G51" s="207">
        <v>1162.5999999999999</v>
      </c>
      <c r="H51" s="186">
        <f t="shared" si="1"/>
        <v>-2.6705734616994659E-2</v>
      </c>
      <c r="I51" s="214"/>
      <c r="J51" s="207">
        <v>1163.9000000000001</v>
      </c>
      <c r="K51" s="186">
        <f t="shared" si="2"/>
        <v>-6.0537573654047994E-2</v>
      </c>
      <c r="L51" s="214"/>
      <c r="M51" s="207">
        <v>698.35</v>
      </c>
      <c r="N51" s="186">
        <f t="shared" si="3"/>
        <v>-3.0271471221273272E-2</v>
      </c>
      <c r="P51" s="207">
        <v>24654.7</v>
      </c>
      <c r="Q51" s="186">
        <f t="shared" si="4"/>
        <v>-2.6546715863079107E-2</v>
      </c>
    </row>
    <row r="52" spans="3:17" x14ac:dyDescent="0.3">
      <c r="C52" s="214">
        <v>45914</v>
      </c>
      <c r="D52" s="207">
        <v>410.65</v>
      </c>
      <c r="E52" s="186">
        <f t="shared" si="0"/>
        <v>-7.4924471299093742E-3</v>
      </c>
      <c r="F52" s="214"/>
      <c r="G52" s="207">
        <v>1194.5</v>
      </c>
      <c r="H52" s="186">
        <f t="shared" si="1"/>
        <v>-1.8971747700394115E-2</v>
      </c>
      <c r="I52" s="214"/>
      <c r="J52" s="207">
        <v>1238.9000000000001</v>
      </c>
      <c r="K52" s="186">
        <f t="shared" si="2"/>
        <v>-8.6420740977833921E-3</v>
      </c>
      <c r="L52" s="214"/>
      <c r="M52" s="207">
        <v>720.15</v>
      </c>
      <c r="N52" s="186">
        <f t="shared" si="3"/>
        <v>-1.9603839085154173E-2</v>
      </c>
      <c r="P52" s="207">
        <v>25327.05</v>
      </c>
      <c r="Q52" s="186">
        <f t="shared" si="4"/>
        <v>8.4833160786812467E-3</v>
      </c>
    </row>
    <row r="53" spans="3:17" x14ac:dyDescent="0.3">
      <c r="C53" s="214">
        <v>45907</v>
      </c>
      <c r="D53" s="207">
        <v>413.75</v>
      </c>
      <c r="E53" s="186">
        <f t="shared" si="0"/>
        <v>1.5711304774763679E-2</v>
      </c>
      <c r="F53" s="214"/>
      <c r="G53" s="207">
        <v>1217.5999999999999</v>
      </c>
      <c r="H53" s="186">
        <f t="shared" si="1"/>
        <v>7.5299958626395824E-3</v>
      </c>
      <c r="I53" s="214"/>
      <c r="J53" s="207">
        <v>1249.7</v>
      </c>
      <c r="K53" s="186">
        <f t="shared" si="2"/>
        <v>1.4778725131952886E-2</v>
      </c>
      <c r="L53" s="214"/>
      <c r="M53" s="207">
        <v>734.55</v>
      </c>
      <c r="N53" s="186">
        <f t="shared" si="3"/>
        <v>3.8950389503893401E-3</v>
      </c>
      <c r="P53" s="207">
        <v>25114</v>
      </c>
      <c r="Q53" s="186">
        <f t="shared" si="4"/>
        <v>1.5076189321369338E-2</v>
      </c>
    </row>
    <row r="54" spans="3:17" x14ac:dyDescent="0.3">
      <c r="C54" s="214">
        <v>45900</v>
      </c>
      <c r="D54" s="207">
        <v>407.35</v>
      </c>
      <c r="E54" s="186">
        <f t="shared" si="0"/>
        <v>-5.8572300183037385E-3</v>
      </c>
      <c r="F54" s="214"/>
      <c r="G54" s="207">
        <v>1208.5</v>
      </c>
      <c r="H54" s="186">
        <f t="shared" si="1"/>
        <v>4.5234388514097779E-2</v>
      </c>
      <c r="I54" s="214"/>
      <c r="J54" s="207">
        <v>1231.5</v>
      </c>
      <c r="K54" s="186">
        <f t="shared" si="2"/>
        <v>-8.9328826653789495E-3</v>
      </c>
      <c r="L54" s="214"/>
      <c r="M54" s="207">
        <v>731.7</v>
      </c>
      <c r="N54" s="186">
        <f t="shared" si="3"/>
        <v>8.0595164290142574E-3</v>
      </c>
      <c r="P54" s="207">
        <v>24741</v>
      </c>
      <c r="Q54" s="186">
        <f t="shared" si="4"/>
        <v>1.2860847796584585E-2</v>
      </c>
    </row>
    <row r="55" spans="3:17" x14ac:dyDescent="0.3">
      <c r="C55" s="214">
        <v>45893</v>
      </c>
      <c r="D55" s="207">
        <v>409.75</v>
      </c>
      <c r="E55" s="186">
        <f t="shared" si="0"/>
        <v>2.8747175495857258E-2</v>
      </c>
      <c r="F55" s="214"/>
      <c r="G55" s="207">
        <v>1156.2</v>
      </c>
      <c r="H55" s="186">
        <f t="shared" si="1"/>
        <v>-5.7614584229083166E-3</v>
      </c>
      <c r="I55" s="214"/>
      <c r="J55" s="207">
        <v>1242.5999999999999</v>
      </c>
      <c r="K55" s="186">
        <f t="shared" si="2"/>
        <v>-1.1613108495068469E-2</v>
      </c>
      <c r="L55" s="214"/>
      <c r="M55" s="207">
        <v>725.85</v>
      </c>
      <c r="N55" s="186">
        <f t="shared" si="3"/>
        <v>-6.6374709182975833E-3</v>
      </c>
      <c r="P55" s="207">
        <v>24426.85</v>
      </c>
      <c r="Q55" s="186">
        <f t="shared" si="4"/>
        <v>-1.7822606262138052E-2</v>
      </c>
    </row>
    <row r="56" spans="3:17" x14ac:dyDescent="0.3">
      <c r="C56" s="214">
        <v>45886</v>
      </c>
      <c r="D56" s="207">
        <v>398.3</v>
      </c>
      <c r="E56" s="186">
        <f t="shared" si="0"/>
        <v>-3.1960140964880202E-2</v>
      </c>
      <c r="F56" s="214"/>
      <c r="G56" s="207">
        <v>1162.9000000000001</v>
      </c>
      <c r="H56" s="186">
        <f t="shared" si="1"/>
        <v>6.7468331191481434E-2</v>
      </c>
      <c r="I56" s="214"/>
      <c r="J56" s="207">
        <v>1257.2</v>
      </c>
      <c r="K56" s="186">
        <f t="shared" si="2"/>
        <v>6.101780740990792E-2</v>
      </c>
      <c r="L56" s="214"/>
      <c r="M56" s="207">
        <v>730.7</v>
      </c>
      <c r="N56" s="186">
        <f t="shared" si="3"/>
        <v>2.8358313982126626E-2</v>
      </c>
      <c r="P56" s="207">
        <v>24870.1</v>
      </c>
      <c r="Q56" s="186">
        <f t="shared" si="4"/>
        <v>9.6949815884666002E-3</v>
      </c>
    </row>
    <row r="57" spans="3:17" x14ac:dyDescent="0.3">
      <c r="C57" s="214">
        <v>45879</v>
      </c>
      <c r="D57" s="207">
        <v>411.45</v>
      </c>
      <c r="E57" s="186">
        <f t="shared" si="0"/>
        <v>-7.3582629674306954E-3</v>
      </c>
      <c r="F57" s="214"/>
      <c r="G57" s="207">
        <v>1089.4000000000001</v>
      </c>
      <c r="H57" s="186">
        <f t="shared" si="1"/>
        <v>-6.47514819881434E-3</v>
      </c>
      <c r="I57" s="214"/>
      <c r="J57" s="207">
        <v>1184.9000000000001</v>
      </c>
      <c r="K57" s="186">
        <f t="shared" si="2"/>
        <v>-1.0117190793355046E-3</v>
      </c>
      <c r="L57" s="214"/>
      <c r="M57" s="207">
        <v>710.55</v>
      </c>
      <c r="N57" s="186">
        <f t="shared" si="3"/>
        <v>9.3756658853609842E-3</v>
      </c>
      <c r="P57" s="207">
        <v>24631.3</v>
      </c>
      <c r="Q57" s="186">
        <f t="shared" si="4"/>
        <v>1.100015186776826E-2</v>
      </c>
    </row>
    <row r="58" spans="3:17" x14ac:dyDescent="0.3">
      <c r="C58" s="214">
        <v>45872</v>
      </c>
      <c r="D58" s="207">
        <v>414.5</v>
      </c>
      <c r="E58" s="186">
        <f t="shared" si="0"/>
        <v>-4.6824348661304027E-3</v>
      </c>
      <c r="F58" s="214"/>
      <c r="G58" s="207">
        <v>1096.5</v>
      </c>
      <c r="H58" s="186">
        <f t="shared" si="1"/>
        <v>-3.6679112672962866E-2</v>
      </c>
      <c r="I58" s="214"/>
      <c r="J58" s="207">
        <v>1186.0999999999999</v>
      </c>
      <c r="K58" s="186">
        <f t="shared" si="2"/>
        <v>-6.3482037110146106E-2</v>
      </c>
      <c r="L58" s="214"/>
      <c r="M58" s="207">
        <v>703.95</v>
      </c>
      <c r="N58" s="186">
        <f t="shared" si="3"/>
        <v>-1.0194038245219361E-2</v>
      </c>
      <c r="P58" s="207">
        <v>24363.3</v>
      </c>
      <c r="Q58" s="186">
        <f t="shared" si="4"/>
        <v>-8.2249998473459263E-3</v>
      </c>
    </row>
    <row r="59" spans="3:17" x14ac:dyDescent="0.3">
      <c r="C59" s="214">
        <v>45865</v>
      </c>
      <c r="D59" s="207">
        <v>416.45</v>
      </c>
      <c r="E59" s="186">
        <f t="shared" si="0"/>
        <v>1.7220322423058265E-2</v>
      </c>
      <c r="F59" s="214"/>
      <c r="G59" s="207">
        <v>1138.25</v>
      </c>
      <c r="H59" s="186">
        <f t="shared" si="1"/>
        <v>8.3531170315653824E-4</v>
      </c>
      <c r="I59" s="214"/>
      <c r="J59" s="207">
        <v>1266.5</v>
      </c>
      <c r="K59" s="186">
        <f t="shared" si="2"/>
        <v>4.0588283625010435E-2</v>
      </c>
      <c r="L59" s="214"/>
      <c r="M59" s="207">
        <v>711.2</v>
      </c>
      <c r="N59" s="186">
        <f t="shared" si="3"/>
        <v>2.485769868146126E-2</v>
      </c>
      <c r="P59" s="207">
        <v>24565.35</v>
      </c>
      <c r="Q59" s="186">
        <f t="shared" si="4"/>
        <v>-1.0937311269477057E-2</v>
      </c>
    </row>
    <row r="60" spans="3:17" x14ac:dyDescent="0.3">
      <c r="C60" s="214">
        <v>45858</v>
      </c>
      <c r="D60" s="207">
        <v>409.4</v>
      </c>
      <c r="E60" s="186">
        <f t="shared" si="0"/>
        <v>-3.1578947368421151E-2</v>
      </c>
      <c r="F60" s="214"/>
      <c r="G60" s="207">
        <v>1137.3</v>
      </c>
      <c r="H60" s="186">
        <f t="shared" si="1"/>
        <v>-7.9928808348839087E-2</v>
      </c>
      <c r="I60" s="214"/>
      <c r="J60" s="207">
        <v>1217.0999999999999</v>
      </c>
      <c r="K60" s="186">
        <f t="shared" si="2"/>
        <v>-2.7331575161831712E-2</v>
      </c>
      <c r="L60" s="214"/>
      <c r="M60" s="207">
        <v>693.95</v>
      </c>
      <c r="N60" s="186">
        <f t="shared" si="3"/>
        <v>-3.6448208830880291E-2</v>
      </c>
      <c r="P60" s="207">
        <v>24837</v>
      </c>
      <c r="Q60" s="186">
        <f t="shared" si="4"/>
        <v>-5.2626519921180615E-3</v>
      </c>
    </row>
    <row r="61" spans="3:17" x14ac:dyDescent="0.3">
      <c r="C61" s="214">
        <v>45851</v>
      </c>
      <c r="D61" s="207">
        <v>422.75</v>
      </c>
      <c r="E61" s="186">
        <f t="shared" si="0"/>
        <v>1.4275431861804133E-2</v>
      </c>
      <c r="F61" s="214"/>
      <c r="G61" s="207">
        <v>1236.0999999999999</v>
      </c>
      <c r="H61" s="186">
        <f t="shared" si="1"/>
        <v>2.8583315997503522E-2</v>
      </c>
      <c r="I61" s="214"/>
      <c r="J61" s="207">
        <v>1251.3</v>
      </c>
      <c r="K61" s="186">
        <f t="shared" si="2"/>
        <v>-2.6225680933852136E-2</v>
      </c>
      <c r="L61" s="214"/>
      <c r="M61" s="207">
        <v>720.2</v>
      </c>
      <c r="N61" s="186">
        <f t="shared" si="3"/>
        <v>-7.5105078205746079E-3</v>
      </c>
      <c r="P61" s="207">
        <v>24968.400000000001</v>
      </c>
      <c r="Q61" s="186">
        <f t="shared" si="4"/>
        <v>-7.214754759968578E-3</v>
      </c>
    </row>
    <row r="62" spans="3:17" x14ac:dyDescent="0.3">
      <c r="C62" s="214">
        <v>45844</v>
      </c>
      <c r="D62" s="207">
        <v>416.8</v>
      </c>
      <c r="E62" s="186">
        <f t="shared" si="0"/>
        <v>1.0301781602229942E-2</v>
      </c>
      <c r="F62" s="214"/>
      <c r="G62" s="207">
        <v>1201.75</v>
      </c>
      <c r="H62" s="186">
        <f t="shared" si="1"/>
        <v>4.4717485790704004E-3</v>
      </c>
      <c r="I62" s="214"/>
      <c r="J62" s="207">
        <v>1285</v>
      </c>
      <c r="K62" s="186">
        <f t="shared" si="2"/>
        <v>7.7206806941067851E-2</v>
      </c>
      <c r="L62" s="214"/>
      <c r="M62" s="207">
        <v>725.65</v>
      </c>
      <c r="N62" s="186">
        <f t="shared" si="3"/>
        <v>-4.0488608289871442E-3</v>
      </c>
      <c r="P62" s="207">
        <v>25149.85</v>
      </c>
      <c r="Q62" s="186">
        <f t="shared" si="4"/>
        <v>-1.2220651192019205E-2</v>
      </c>
    </row>
    <row r="63" spans="3:17" x14ac:dyDescent="0.3">
      <c r="C63" s="214">
        <v>45837</v>
      </c>
      <c r="D63" s="207">
        <v>412.55</v>
      </c>
      <c r="E63" s="186">
        <f t="shared" si="0"/>
        <v>-1.4570643735817401E-2</v>
      </c>
      <c r="F63" s="214"/>
      <c r="G63" s="207">
        <v>1196.4000000000001</v>
      </c>
      <c r="H63" s="186">
        <f t="shared" si="1"/>
        <v>-2.6802781957945054E-2</v>
      </c>
      <c r="I63" s="214"/>
      <c r="J63" s="207">
        <v>1192.9000000000001</v>
      </c>
      <c r="K63" s="186">
        <f t="shared" si="2"/>
        <v>1.4025841550493023E-2</v>
      </c>
      <c r="L63" s="214"/>
      <c r="M63" s="207">
        <v>728.6</v>
      </c>
      <c r="N63" s="186">
        <f t="shared" si="3"/>
        <v>-4.1686598783571283E-3</v>
      </c>
      <c r="P63" s="207">
        <v>25461</v>
      </c>
      <c r="Q63" s="186">
        <f t="shared" si="4"/>
        <v>-6.8960675252947023E-3</v>
      </c>
    </row>
    <row r="64" spans="3:17" x14ac:dyDescent="0.3">
      <c r="C64" s="214">
        <v>45830</v>
      </c>
      <c r="D64" s="207">
        <v>418.65</v>
      </c>
      <c r="E64" s="186">
        <f t="shared" si="0"/>
        <v>2.3892008123271857E-4</v>
      </c>
      <c r="F64" s="214"/>
      <c r="G64" s="207">
        <v>1229.3499999999999</v>
      </c>
      <c r="H64" s="186">
        <f t="shared" si="1"/>
        <v>4.1645483816302287E-2</v>
      </c>
      <c r="I64" s="214"/>
      <c r="J64" s="207">
        <v>1176.4000000000001</v>
      </c>
      <c r="K64" s="186">
        <f t="shared" si="2"/>
        <v>-1.0929880612073339E-2</v>
      </c>
      <c r="L64" s="214"/>
      <c r="M64" s="207">
        <v>731.65</v>
      </c>
      <c r="N64" s="186">
        <f t="shared" si="3"/>
        <v>5.5315159382662626E-2</v>
      </c>
      <c r="P64" s="207">
        <v>25637.8</v>
      </c>
      <c r="Q64" s="186">
        <f t="shared" si="4"/>
        <v>2.092193498032846E-2</v>
      </c>
    </row>
    <row r="65" spans="3:17" x14ac:dyDescent="0.3">
      <c r="C65" s="214">
        <v>45823</v>
      </c>
      <c r="D65" s="207">
        <v>418.55</v>
      </c>
      <c r="E65" s="186">
        <f t="shared" si="0"/>
        <v>1.1234597728920104E-2</v>
      </c>
      <c r="F65" s="214"/>
      <c r="G65" s="207">
        <v>1180.2</v>
      </c>
      <c r="H65" s="186">
        <f t="shared" si="1"/>
        <v>-6.9000336587008437E-3</v>
      </c>
      <c r="I65" s="214"/>
      <c r="J65" s="207">
        <v>1189.4000000000001</v>
      </c>
      <c r="K65" s="186">
        <f t="shared" si="2"/>
        <v>5.0471063257084836E-4</v>
      </c>
      <c r="L65" s="214"/>
      <c r="M65" s="207">
        <v>693.3</v>
      </c>
      <c r="N65" s="186">
        <f t="shared" si="3"/>
        <v>3.0381944444444198E-3</v>
      </c>
      <c r="P65" s="207">
        <v>25112.400000000001</v>
      </c>
      <c r="Q65" s="186">
        <f t="shared" si="4"/>
        <v>1.5931322971365791E-2</v>
      </c>
    </row>
    <row r="66" spans="3:17" x14ac:dyDescent="0.3">
      <c r="C66" s="214">
        <v>45816</v>
      </c>
      <c r="D66" s="207">
        <v>413.9</v>
      </c>
      <c r="E66" s="186">
        <f t="shared" si="0"/>
        <v>-1.6981356133475956E-2</v>
      </c>
      <c r="F66" s="214"/>
      <c r="G66" s="207">
        <v>1188.4000000000001</v>
      </c>
      <c r="H66" s="186">
        <f t="shared" si="1"/>
        <v>-1.6713552871090331E-2</v>
      </c>
      <c r="I66" s="214"/>
      <c r="J66" s="207">
        <v>1188.8</v>
      </c>
      <c r="K66" s="186">
        <f t="shared" si="2"/>
        <v>-1.7601851086686993E-2</v>
      </c>
      <c r="L66" s="214"/>
      <c r="M66" s="207">
        <v>691.2</v>
      </c>
      <c r="N66" s="186">
        <f t="shared" si="3"/>
        <v>-1.0663422314463489E-2</v>
      </c>
      <c r="P66" s="207">
        <v>24718.6</v>
      </c>
      <c r="Q66" s="186">
        <f t="shared" si="4"/>
        <v>-1.1376612053329516E-2</v>
      </c>
    </row>
    <row r="67" spans="3:17" x14ac:dyDescent="0.3">
      <c r="C67" s="214">
        <v>45809</v>
      </c>
      <c r="D67" s="207">
        <v>421.05</v>
      </c>
      <c r="E67" s="186">
        <f t="shared" si="0"/>
        <v>7.1761750986722994E-3</v>
      </c>
      <c r="F67" s="214"/>
      <c r="G67" s="207">
        <v>1208.5999999999999</v>
      </c>
      <c r="H67" s="186">
        <f t="shared" si="1"/>
        <v>8.7638761372172969E-3</v>
      </c>
      <c r="I67" s="214"/>
      <c r="J67" s="207">
        <v>1210.0999999999999</v>
      </c>
      <c r="K67" s="186">
        <f t="shared" si="2"/>
        <v>-1.7297385090141448E-2</v>
      </c>
      <c r="L67" s="214"/>
      <c r="M67" s="207">
        <v>698.65</v>
      </c>
      <c r="N67" s="186">
        <f t="shared" si="3"/>
        <v>-2.4844720496894457E-2</v>
      </c>
      <c r="P67" s="207">
        <v>25003.05</v>
      </c>
      <c r="Q67" s="186">
        <f t="shared" si="4"/>
        <v>1.0195671233540704E-2</v>
      </c>
    </row>
    <row r="68" spans="3:17" x14ac:dyDescent="0.3">
      <c r="C68" s="214">
        <v>45802</v>
      </c>
      <c r="D68" s="207">
        <v>418.05</v>
      </c>
      <c r="E68" s="186">
        <f t="shared" si="0"/>
        <v>-4.1829016731606661E-2</v>
      </c>
      <c r="F68" s="214"/>
      <c r="G68" s="207">
        <v>1198.0999999999999</v>
      </c>
      <c r="H68" s="186">
        <f t="shared" si="1"/>
        <v>-7.5381047051028549E-3</v>
      </c>
      <c r="I68" s="214"/>
      <c r="J68" s="207">
        <v>1231.4000000000001</v>
      </c>
      <c r="K68" s="186">
        <f t="shared" si="2"/>
        <v>-3.6010646625958986E-2</v>
      </c>
      <c r="L68" s="214"/>
      <c r="M68" s="207">
        <v>716.45</v>
      </c>
      <c r="N68" s="186">
        <f t="shared" si="3"/>
        <v>2.2258685881429763E-2</v>
      </c>
      <c r="P68" s="207">
        <v>24750.7</v>
      </c>
      <c r="Q68" s="186">
        <f t="shared" si="4"/>
        <v>-4.1222138843567402E-3</v>
      </c>
    </row>
    <row r="69" spans="3:17" x14ac:dyDescent="0.3">
      <c r="C69" s="214">
        <v>45795</v>
      </c>
      <c r="D69" s="207">
        <v>436.3</v>
      </c>
      <c r="E69" s="186">
        <f t="shared" si="0"/>
        <v>1.3770943309616701E-3</v>
      </c>
      <c r="F69" s="214"/>
      <c r="G69" s="207">
        <v>1207.2</v>
      </c>
      <c r="H69" s="186">
        <f t="shared" si="1"/>
        <v>2.3248090335437066E-3</v>
      </c>
      <c r="I69" s="214"/>
      <c r="J69" s="207">
        <v>1277.4000000000001</v>
      </c>
      <c r="K69" s="186">
        <f t="shared" si="2"/>
        <v>-1.7006540977298923E-2</v>
      </c>
      <c r="L69" s="214"/>
      <c r="M69" s="207">
        <v>700.85</v>
      </c>
      <c r="N69" s="186">
        <f t="shared" si="3"/>
        <v>-3.2509663169519532E-2</v>
      </c>
      <c r="P69" s="207">
        <v>24853.15</v>
      </c>
      <c r="Q69" s="186">
        <f t="shared" si="4"/>
        <v>-6.660724706032739E-3</v>
      </c>
    </row>
    <row r="70" spans="3:17" x14ac:dyDescent="0.3">
      <c r="C70" s="214">
        <v>45788</v>
      </c>
      <c r="D70" s="207">
        <v>435.7</v>
      </c>
      <c r="E70" s="186">
        <f t="shared" ref="E70:E133" si="6">D70/D71-1</f>
        <v>2.8686105536536388E-2</v>
      </c>
      <c r="F70" s="214"/>
      <c r="G70" s="207">
        <v>1204.4000000000001</v>
      </c>
      <c r="H70" s="186">
        <f t="shared" ref="H70:H133" si="7">G70/G71-1</f>
        <v>3.5864797454201458E-2</v>
      </c>
      <c r="I70" s="214"/>
      <c r="J70" s="207">
        <v>1299.5</v>
      </c>
      <c r="K70" s="186">
        <f t="shared" ref="K70:K133" si="8">J70/J71-1</f>
        <v>4.6212060220594209E-2</v>
      </c>
      <c r="L70" s="214"/>
      <c r="M70" s="207">
        <v>724.4</v>
      </c>
      <c r="N70" s="186">
        <f t="shared" ref="N70:N133" si="9">M70/M71-1</f>
        <v>1.5208074104797742E-3</v>
      </c>
      <c r="P70" s="207">
        <v>25019.8</v>
      </c>
      <c r="Q70" s="186">
        <f t="shared" ref="Q70:Q133" si="10">P70/P71-1</f>
        <v>4.2144285238253865E-2</v>
      </c>
    </row>
    <row r="71" spans="3:17" x14ac:dyDescent="0.3">
      <c r="C71" s="214">
        <v>45781</v>
      </c>
      <c r="D71" s="207">
        <v>423.55</v>
      </c>
      <c r="E71" s="186">
        <f t="shared" si="6"/>
        <v>-1.5572341661824529E-2</v>
      </c>
      <c r="F71" s="214"/>
      <c r="G71" s="207">
        <v>1162.7</v>
      </c>
      <c r="H71" s="186">
        <f t="shared" si="7"/>
        <v>-5.2615818967359784E-3</v>
      </c>
      <c r="I71" s="214"/>
      <c r="J71" s="207">
        <v>1242.0999999999999</v>
      </c>
      <c r="K71" s="186">
        <f t="shared" si="8"/>
        <v>-1.1617728972706409E-2</v>
      </c>
      <c r="L71" s="214"/>
      <c r="M71" s="207">
        <v>723.3</v>
      </c>
      <c r="N71" s="186">
        <f t="shared" si="9"/>
        <v>3.6617699749193822E-2</v>
      </c>
      <c r="P71" s="207">
        <v>24008</v>
      </c>
      <c r="Q71" s="186">
        <f t="shared" si="10"/>
        <v>-1.391153626569519E-2</v>
      </c>
    </row>
    <row r="72" spans="3:17" x14ac:dyDescent="0.3">
      <c r="C72" s="214">
        <v>45774</v>
      </c>
      <c r="D72" s="207">
        <v>430.25</v>
      </c>
      <c r="E72" s="186">
        <f t="shared" si="6"/>
        <v>5.7269752220663328E-3</v>
      </c>
      <c r="F72" s="214"/>
      <c r="G72" s="207">
        <v>1168.8499999999999</v>
      </c>
      <c r="H72" s="186">
        <f t="shared" si="7"/>
        <v>-3.1406670810027015E-2</v>
      </c>
      <c r="I72" s="214"/>
      <c r="J72" s="207">
        <v>1256.7</v>
      </c>
      <c r="K72" s="186">
        <f t="shared" si="8"/>
        <v>-7.7378602447689682E-3</v>
      </c>
      <c r="L72" s="214"/>
      <c r="M72" s="207">
        <v>697.75</v>
      </c>
      <c r="N72" s="186">
        <f t="shared" si="9"/>
        <v>-1.7806869369369371E-2</v>
      </c>
      <c r="P72" s="207">
        <v>24346.7</v>
      </c>
      <c r="Q72" s="186">
        <f t="shared" si="10"/>
        <v>1.2785287455775673E-2</v>
      </c>
    </row>
    <row r="73" spans="3:17" x14ac:dyDescent="0.3">
      <c r="C73" s="214">
        <v>45767</v>
      </c>
      <c r="D73" s="207">
        <v>427.8</v>
      </c>
      <c r="E73" s="186">
        <f t="shared" si="6"/>
        <v>1.2873025160913265E-3</v>
      </c>
      <c r="F73" s="214"/>
      <c r="G73" s="207">
        <v>1206.75</v>
      </c>
      <c r="H73" s="186">
        <f t="shared" si="7"/>
        <v>-1.2827940081104883E-3</v>
      </c>
      <c r="I73" s="214"/>
      <c r="J73" s="207">
        <v>1266.5</v>
      </c>
      <c r="K73" s="186">
        <f t="shared" si="8"/>
        <v>2.1947873799725626E-2</v>
      </c>
      <c r="L73" s="214"/>
      <c r="M73" s="207">
        <v>710.4</v>
      </c>
      <c r="N73" s="186">
        <f t="shared" si="9"/>
        <v>-6.15556799104644E-3</v>
      </c>
      <c r="P73" s="207">
        <v>24039.35</v>
      </c>
      <c r="Q73" s="186">
        <f t="shared" si="10"/>
        <v>7.86947653516612E-3</v>
      </c>
    </row>
    <row r="74" spans="3:17" x14ac:dyDescent="0.3">
      <c r="C74" s="214">
        <v>45760</v>
      </c>
      <c r="D74" s="207">
        <v>427.25</v>
      </c>
      <c r="E74" s="186">
        <f t="shared" si="6"/>
        <v>1.3521527695409707E-2</v>
      </c>
      <c r="F74" s="214"/>
      <c r="G74" s="207">
        <v>1208.3</v>
      </c>
      <c r="H74" s="186">
        <f t="shared" si="7"/>
        <v>2.3375963411535361E-2</v>
      </c>
      <c r="I74" s="214"/>
      <c r="J74" s="207">
        <v>1239.3</v>
      </c>
      <c r="K74" s="186">
        <f t="shared" si="8"/>
        <v>1.2830990519777652E-2</v>
      </c>
      <c r="L74" s="214"/>
      <c r="M74" s="207">
        <v>714.8</v>
      </c>
      <c r="N74" s="186">
        <f t="shared" si="9"/>
        <v>6.8314670047184833E-3</v>
      </c>
      <c r="P74" s="207">
        <v>23851.65</v>
      </c>
      <c r="Q74" s="186">
        <f t="shared" si="10"/>
        <v>4.4816687875489425E-2</v>
      </c>
    </row>
    <row r="75" spans="3:17" x14ac:dyDescent="0.3">
      <c r="C75" s="214">
        <v>45753</v>
      </c>
      <c r="D75" s="207">
        <v>421.55</v>
      </c>
      <c r="E75" s="186">
        <f t="shared" si="6"/>
        <v>2.8923602636075296E-2</v>
      </c>
      <c r="F75" s="214"/>
      <c r="G75" s="207">
        <v>1180.7</v>
      </c>
      <c r="H75" s="186">
        <f t="shared" si="7"/>
        <v>4.3878805025330037E-2</v>
      </c>
      <c r="I75" s="214"/>
      <c r="J75" s="207">
        <v>1223.5999999999999</v>
      </c>
      <c r="K75" s="186">
        <f t="shared" si="8"/>
        <v>5.792841085941558E-2</v>
      </c>
      <c r="L75" s="214"/>
      <c r="M75" s="207">
        <v>709.95</v>
      </c>
      <c r="N75" s="186">
        <f t="shared" si="9"/>
        <v>4.8206112505536858E-2</v>
      </c>
      <c r="P75" s="207">
        <v>22828.55</v>
      </c>
      <c r="Q75" s="186">
        <f t="shared" si="10"/>
        <v>-3.3137665388167648E-3</v>
      </c>
    </row>
    <row r="76" spans="3:17" x14ac:dyDescent="0.3">
      <c r="C76" s="214">
        <v>45746</v>
      </c>
      <c r="D76" s="207">
        <v>409.7</v>
      </c>
      <c r="E76" s="186">
        <f t="shared" si="6"/>
        <v>-1.2202562538132788E-4</v>
      </c>
      <c r="F76" s="214"/>
      <c r="G76" s="207">
        <v>1131.07</v>
      </c>
      <c r="H76" s="186">
        <f t="shared" si="7"/>
        <v>5.0560699497057549E-3</v>
      </c>
      <c r="I76" s="214"/>
      <c r="J76" s="207">
        <v>1156.5999999999999</v>
      </c>
      <c r="K76" s="186">
        <f t="shared" si="8"/>
        <v>-2.2859607504852608E-3</v>
      </c>
      <c r="L76" s="214"/>
      <c r="M76" s="207">
        <v>677.3</v>
      </c>
      <c r="N76" s="186">
        <f t="shared" si="9"/>
        <v>3.936162050180303E-2</v>
      </c>
      <c r="P76" s="207">
        <v>22904.45</v>
      </c>
      <c r="Q76" s="186">
        <f t="shared" si="10"/>
        <v>-2.6144430011883713E-2</v>
      </c>
    </row>
    <row r="77" spans="3:17" x14ac:dyDescent="0.3">
      <c r="C77" s="214">
        <v>45739</v>
      </c>
      <c r="D77" s="207">
        <v>409.75</v>
      </c>
      <c r="E77" s="186">
        <f t="shared" si="6"/>
        <v>1.0356306250770553E-2</v>
      </c>
      <c r="F77" s="214"/>
      <c r="G77" s="207">
        <v>1125.3800000000001</v>
      </c>
      <c r="H77" s="186">
        <f t="shared" si="7"/>
        <v>-7.9775746410091219E-3</v>
      </c>
      <c r="I77" s="214"/>
      <c r="J77" s="207">
        <v>1159.25</v>
      </c>
      <c r="K77" s="186">
        <f t="shared" si="8"/>
        <v>4.2537883897657336E-2</v>
      </c>
      <c r="L77" s="214"/>
      <c r="M77" s="207">
        <v>651.65</v>
      </c>
      <c r="N77" s="186">
        <f t="shared" si="9"/>
        <v>3.3053265694356515E-2</v>
      </c>
      <c r="P77" s="207">
        <v>23519.35</v>
      </c>
      <c r="Q77" s="186">
        <f t="shared" si="10"/>
        <v>7.2354220912702605E-3</v>
      </c>
    </row>
    <row r="78" spans="3:17" x14ac:dyDescent="0.3">
      <c r="C78" s="214">
        <v>45732</v>
      </c>
      <c r="D78" s="207">
        <v>405.55</v>
      </c>
      <c r="E78" s="186">
        <f t="shared" si="6"/>
        <v>-1.5774784613517778E-2</v>
      </c>
      <c r="F78" s="214"/>
      <c r="G78" s="207">
        <v>1134.43</v>
      </c>
      <c r="H78" s="186">
        <f t="shared" si="7"/>
        <v>3.5092201428871261E-2</v>
      </c>
      <c r="I78" s="214"/>
      <c r="J78" s="207">
        <v>1111.95</v>
      </c>
      <c r="K78" s="186">
        <f t="shared" si="8"/>
        <v>8.3983232598947355E-2</v>
      </c>
      <c r="L78" s="214"/>
      <c r="M78" s="207">
        <v>630.79999999999995</v>
      </c>
      <c r="N78" s="186">
        <f t="shared" si="9"/>
        <v>4.0409038429820132E-2</v>
      </c>
      <c r="P78" s="207">
        <v>23350.400000000001</v>
      </c>
      <c r="Q78" s="186">
        <f t="shared" si="10"/>
        <v>4.2558891289982803E-2</v>
      </c>
    </row>
    <row r="79" spans="3:17" x14ac:dyDescent="0.3">
      <c r="C79" s="214">
        <v>45725</v>
      </c>
      <c r="D79" s="207">
        <v>412.05</v>
      </c>
      <c r="E79" s="186">
        <f t="shared" si="6"/>
        <v>2.0178261946026232E-2</v>
      </c>
      <c r="F79" s="214"/>
      <c r="G79" s="207">
        <v>1095.97</v>
      </c>
      <c r="H79" s="186">
        <f t="shared" si="7"/>
        <v>-2.0773395757759827E-2</v>
      </c>
      <c r="I79" s="214"/>
      <c r="J79" s="207">
        <v>1025.8</v>
      </c>
      <c r="K79" s="186">
        <f t="shared" si="8"/>
        <v>-1.8654931598584112E-2</v>
      </c>
      <c r="L79" s="214"/>
      <c r="M79" s="207">
        <v>606.29999999999995</v>
      </c>
      <c r="N79" s="186">
        <f t="shared" si="9"/>
        <v>-5.4949561223652799E-3</v>
      </c>
      <c r="P79" s="207">
        <v>22397.200000000001</v>
      </c>
      <c r="Q79" s="186">
        <f t="shared" si="10"/>
        <v>-6.8861545283227521E-3</v>
      </c>
    </row>
    <row r="80" spans="3:17" x14ac:dyDescent="0.3">
      <c r="C80" s="214">
        <v>45718</v>
      </c>
      <c r="D80" s="207">
        <v>403.9</v>
      </c>
      <c r="E80" s="186">
        <f t="shared" si="6"/>
        <v>2.2531645569620284E-2</v>
      </c>
      <c r="F80" s="214"/>
      <c r="G80" s="207">
        <v>1119.22</v>
      </c>
      <c r="H80" s="186">
        <f t="shared" si="7"/>
        <v>2.2286768601231355E-2</v>
      </c>
      <c r="I80" s="214"/>
      <c r="J80" s="207">
        <v>1045.3</v>
      </c>
      <c r="K80" s="186">
        <f t="shared" si="8"/>
        <v>3.9944286922349859E-2</v>
      </c>
      <c r="L80" s="214"/>
      <c r="M80" s="207">
        <v>609.65</v>
      </c>
      <c r="N80" s="186">
        <f t="shared" si="9"/>
        <v>1.5068265068264974E-2</v>
      </c>
      <c r="P80" s="207">
        <v>22552.5</v>
      </c>
      <c r="Q80" s="186">
        <f t="shared" si="10"/>
        <v>1.9335855401429125E-2</v>
      </c>
    </row>
    <row r="81" spans="3:17" x14ac:dyDescent="0.3">
      <c r="C81" s="214">
        <v>45711</v>
      </c>
      <c r="D81" s="207">
        <v>395</v>
      </c>
      <c r="E81" s="186">
        <f t="shared" si="6"/>
        <v>-1.4716887004240453E-2</v>
      </c>
      <c r="F81" s="214"/>
      <c r="G81" s="207">
        <v>1094.82</v>
      </c>
      <c r="H81" s="186">
        <f t="shared" si="7"/>
        <v>-1.1422431307394398E-2</v>
      </c>
      <c r="I81" s="214"/>
      <c r="J81" s="207">
        <v>1005.15</v>
      </c>
      <c r="K81" s="186">
        <f t="shared" si="8"/>
        <v>-4.4715833491731694E-2</v>
      </c>
      <c r="L81" s="214"/>
      <c r="M81" s="207">
        <v>600.6</v>
      </c>
      <c r="N81" s="186">
        <f t="shared" si="9"/>
        <v>-3.8732394366197131E-2</v>
      </c>
      <c r="P81" s="207">
        <v>22124.7</v>
      </c>
      <c r="Q81" s="186">
        <f t="shared" si="10"/>
        <v>-2.9443891226053842E-2</v>
      </c>
    </row>
    <row r="82" spans="3:17" x14ac:dyDescent="0.3">
      <c r="C82" s="214">
        <v>45704</v>
      </c>
      <c r="D82" s="207">
        <v>400.9</v>
      </c>
      <c r="E82" s="186">
        <f t="shared" si="6"/>
        <v>-2.2790981109079844E-2</v>
      </c>
      <c r="F82" s="214"/>
      <c r="G82" s="207">
        <v>1107.47</v>
      </c>
      <c r="H82" s="186">
        <f t="shared" si="7"/>
        <v>8.6890785387045977E-3</v>
      </c>
      <c r="I82" s="214"/>
      <c r="J82" s="207">
        <v>1052.2</v>
      </c>
      <c r="K82" s="186">
        <f t="shared" si="8"/>
        <v>-6.3273208046086271E-3</v>
      </c>
      <c r="L82" s="214"/>
      <c r="M82" s="207">
        <v>624.79999999999995</v>
      </c>
      <c r="N82" s="186">
        <f t="shared" si="9"/>
        <v>-1.4122287968441838E-2</v>
      </c>
      <c r="P82" s="207">
        <v>22795.9</v>
      </c>
      <c r="Q82" s="186">
        <f t="shared" si="10"/>
        <v>-5.8157157342695331E-3</v>
      </c>
    </row>
    <row r="83" spans="3:17" x14ac:dyDescent="0.3">
      <c r="C83" s="214">
        <v>45697</v>
      </c>
      <c r="D83" s="207">
        <v>410.25</v>
      </c>
      <c r="E83" s="186">
        <f t="shared" si="6"/>
        <v>-4.781246373447845E-2</v>
      </c>
      <c r="F83" s="214"/>
      <c r="G83" s="207">
        <v>1097.93</v>
      </c>
      <c r="H83" s="186">
        <f t="shared" si="7"/>
        <v>-1.3140982427755965E-2</v>
      </c>
      <c r="I83" s="214"/>
      <c r="J83" s="207">
        <v>1058.9000000000001</v>
      </c>
      <c r="K83" s="186">
        <f t="shared" si="8"/>
        <v>-4.3234696182516297E-2</v>
      </c>
      <c r="L83" s="214"/>
      <c r="M83" s="207">
        <v>633.75</v>
      </c>
      <c r="N83" s="186">
        <f t="shared" si="9"/>
        <v>-2.3873700423565625E-2</v>
      </c>
      <c r="P83" s="207">
        <v>22929.25</v>
      </c>
      <c r="Q83" s="186">
        <f t="shared" si="10"/>
        <v>-2.6770005878620329E-2</v>
      </c>
    </row>
    <row r="84" spans="3:17" x14ac:dyDescent="0.3">
      <c r="C84" s="214">
        <v>45690</v>
      </c>
      <c r="D84" s="207">
        <v>430.85</v>
      </c>
      <c r="E84" s="186">
        <f t="shared" si="6"/>
        <v>-3.7206703910614425E-2</v>
      </c>
      <c r="F84" s="214"/>
      <c r="G84" s="207">
        <v>1112.55</v>
      </c>
      <c r="H84" s="186">
        <f t="shared" si="7"/>
        <v>-3.8085768632197814E-2</v>
      </c>
      <c r="I84" s="214"/>
      <c r="J84" s="207">
        <v>1106.75</v>
      </c>
      <c r="K84" s="186">
        <f t="shared" si="8"/>
        <v>-1.2931995540691243E-2</v>
      </c>
      <c r="L84" s="214"/>
      <c r="M84" s="207">
        <v>649.25</v>
      </c>
      <c r="N84" s="186">
        <f t="shared" si="9"/>
        <v>-3.1909341683441395E-2</v>
      </c>
      <c r="P84" s="207">
        <v>23559.95</v>
      </c>
      <c r="Q84" s="186">
        <f t="shared" si="10"/>
        <v>2.1928332000475947E-3</v>
      </c>
    </row>
    <row r="85" spans="3:17" x14ac:dyDescent="0.3">
      <c r="C85" s="214">
        <v>45683</v>
      </c>
      <c r="D85" s="207">
        <v>447.5</v>
      </c>
      <c r="E85" s="186">
        <f t="shared" si="6"/>
        <v>1.3360507246376718E-2</v>
      </c>
      <c r="F85" s="214"/>
      <c r="G85" s="207">
        <v>1156.5999999999999</v>
      </c>
      <c r="H85" s="186">
        <f t="shared" si="7"/>
        <v>4.7692377372163364E-2</v>
      </c>
      <c r="I85" s="214"/>
      <c r="J85" s="207">
        <v>1121.25</v>
      </c>
      <c r="K85" s="186">
        <f t="shared" si="8"/>
        <v>-8.0506037952845499E-3</v>
      </c>
      <c r="L85" s="214"/>
      <c r="M85" s="207">
        <v>670.65</v>
      </c>
      <c r="N85" s="186">
        <f t="shared" si="9"/>
        <v>6.6796757730409606E-3</v>
      </c>
      <c r="P85" s="207">
        <v>23508.400000000001</v>
      </c>
      <c r="Q85" s="186">
        <f t="shared" si="10"/>
        <v>1.8023401841314346E-2</v>
      </c>
    </row>
    <row r="86" spans="3:17" x14ac:dyDescent="0.3">
      <c r="C86" s="214">
        <v>45676</v>
      </c>
      <c r="D86" s="207">
        <v>441.6</v>
      </c>
      <c r="E86" s="186">
        <f t="shared" si="6"/>
        <v>3.180372557928246E-3</v>
      </c>
      <c r="F86" s="214"/>
      <c r="G86" s="207">
        <v>1103.95</v>
      </c>
      <c r="H86" s="186">
        <f t="shared" si="7"/>
        <v>-4.1944795237235377E-3</v>
      </c>
      <c r="I86" s="214"/>
      <c r="J86" s="207">
        <v>1130.3499999999999</v>
      </c>
      <c r="K86" s="186">
        <f t="shared" si="8"/>
        <v>-4.8326668069880063E-2</v>
      </c>
      <c r="L86" s="214"/>
      <c r="M86" s="207">
        <v>666.2</v>
      </c>
      <c r="N86" s="186">
        <f t="shared" si="9"/>
        <v>2.7092113184830069E-3</v>
      </c>
      <c r="P86" s="207">
        <v>23092.2</v>
      </c>
      <c r="Q86" s="186">
        <f t="shared" si="10"/>
        <v>-4.7838229209764549E-3</v>
      </c>
    </row>
    <row r="87" spans="3:17" x14ac:dyDescent="0.3">
      <c r="C87" s="214">
        <v>45669</v>
      </c>
      <c r="D87" s="207">
        <v>440.2</v>
      </c>
      <c r="E87" s="186">
        <f t="shared" si="6"/>
        <v>-1.056417172398294E-2</v>
      </c>
      <c r="F87" s="214"/>
      <c r="G87" s="207">
        <v>1108.5999999999999</v>
      </c>
      <c r="H87" s="186">
        <f t="shared" si="7"/>
        <v>-1.3657191156190351E-2</v>
      </c>
      <c r="I87" s="214"/>
      <c r="J87" s="207">
        <v>1187.75</v>
      </c>
      <c r="K87" s="186">
        <f t="shared" si="8"/>
        <v>1.1453631950949505E-2</v>
      </c>
      <c r="L87" s="214"/>
      <c r="M87" s="207">
        <v>664.4</v>
      </c>
      <c r="N87" s="186">
        <f t="shared" si="9"/>
        <v>-1.4097047039620114E-2</v>
      </c>
      <c r="P87" s="207">
        <v>23203.200000000001</v>
      </c>
      <c r="Q87" s="186">
        <f t="shared" si="10"/>
        <v>-9.7432942833365344E-3</v>
      </c>
    </row>
    <row r="88" spans="3:17" x14ac:dyDescent="0.3">
      <c r="C88" s="214">
        <v>45662</v>
      </c>
      <c r="D88" s="207">
        <v>444.9</v>
      </c>
      <c r="E88" s="186">
        <f t="shared" si="6"/>
        <v>-2.3485513608428543E-2</v>
      </c>
      <c r="F88" s="214"/>
      <c r="G88" s="207">
        <v>1123.95</v>
      </c>
      <c r="H88" s="186">
        <f t="shared" si="7"/>
        <v>6.8079007479733278E-3</v>
      </c>
      <c r="I88" s="214"/>
      <c r="J88" s="207">
        <v>1174.3</v>
      </c>
      <c r="K88" s="186">
        <f t="shared" si="8"/>
        <v>5.1627636233376517E-2</v>
      </c>
      <c r="L88" s="214"/>
      <c r="M88" s="207">
        <v>673.9</v>
      </c>
      <c r="N88" s="186">
        <f t="shared" si="9"/>
        <v>1.959301006127534E-2</v>
      </c>
      <c r="P88" s="207">
        <v>23431.5</v>
      </c>
      <c r="Q88" s="186">
        <f t="shared" si="10"/>
        <v>-2.3880690280048689E-2</v>
      </c>
    </row>
    <row r="89" spans="3:17" x14ac:dyDescent="0.3">
      <c r="C89" s="214">
        <v>45655</v>
      </c>
      <c r="D89" s="207">
        <v>455.6</v>
      </c>
      <c r="E89" s="186">
        <f t="shared" si="6"/>
        <v>6.2726389257001802E-3</v>
      </c>
      <c r="F89" s="214"/>
      <c r="G89" s="207">
        <v>1116.3499999999999</v>
      </c>
      <c r="H89" s="186">
        <f t="shared" si="7"/>
        <v>3.0984484669375645E-2</v>
      </c>
      <c r="I89" s="214"/>
      <c r="J89" s="207">
        <v>1116.6500000000001</v>
      </c>
      <c r="K89" s="186">
        <f t="shared" si="8"/>
        <v>4.5748267465817616E-2</v>
      </c>
      <c r="L89" s="214"/>
      <c r="M89" s="207">
        <v>660.95</v>
      </c>
      <c r="N89" s="186">
        <f t="shared" si="9"/>
        <v>4.4815049004110152E-2</v>
      </c>
      <c r="P89" s="207">
        <v>24004.75</v>
      </c>
      <c r="Q89" s="186">
        <f t="shared" si="10"/>
        <v>8.035391838208783E-3</v>
      </c>
    </row>
    <row r="90" spans="3:17" x14ac:dyDescent="0.3">
      <c r="C90" s="214">
        <v>45648</v>
      </c>
      <c r="D90" s="207">
        <v>452.76</v>
      </c>
      <c r="E90" s="186">
        <f t="shared" si="6"/>
        <v>3.0006597356507569E-2</v>
      </c>
      <c r="F90" s="214"/>
      <c r="G90" s="207">
        <v>1082.8</v>
      </c>
      <c r="H90" s="186">
        <f t="shared" si="7"/>
        <v>9.7064941067714905E-4</v>
      </c>
      <c r="I90" s="214"/>
      <c r="J90" s="207">
        <v>1067.8</v>
      </c>
      <c r="K90" s="186">
        <f t="shared" si="8"/>
        <v>-1.6828721017202453E-3</v>
      </c>
      <c r="L90" s="214"/>
      <c r="M90" s="207">
        <v>632.6</v>
      </c>
      <c r="N90" s="186">
        <f t="shared" si="9"/>
        <v>7.4050481726251061E-3</v>
      </c>
      <c r="P90" s="207">
        <v>23813.4</v>
      </c>
      <c r="Q90" s="186">
        <f t="shared" si="10"/>
        <v>9.5771065182830295E-3</v>
      </c>
    </row>
    <row r="91" spans="3:17" x14ac:dyDescent="0.3">
      <c r="C91" s="214">
        <v>45641</v>
      </c>
      <c r="D91" s="207">
        <v>439.57</v>
      </c>
      <c r="E91" s="186">
        <f t="shared" si="6"/>
        <v>-1.1380248746148514E-2</v>
      </c>
      <c r="F91" s="214"/>
      <c r="G91" s="207">
        <v>1081.75</v>
      </c>
      <c r="H91" s="186">
        <f t="shared" si="7"/>
        <v>-3.9937874417572683E-2</v>
      </c>
      <c r="I91" s="214"/>
      <c r="J91" s="207">
        <v>1069.5999999999999</v>
      </c>
      <c r="K91" s="186">
        <f t="shared" si="8"/>
        <v>-3.7653515677718463E-2</v>
      </c>
      <c r="L91" s="214"/>
      <c r="M91" s="207">
        <v>627.95000000000005</v>
      </c>
      <c r="N91" s="186">
        <f t="shared" si="9"/>
        <v>-1.852141294154408E-2</v>
      </c>
      <c r="P91" s="207">
        <v>23587.5</v>
      </c>
      <c r="Q91" s="186">
        <f t="shared" si="10"/>
        <v>-4.7673841159869612E-2</v>
      </c>
    </row>
    <row r="92" spans="3:17" x14ac:dyDescent="0.3">
      <c r="C92" s="214">
        <v>45634</v>
      </c>
      <c r="D92" s="207">
        <v>444.63</v>
      </c>
      <c r="E92" s="186">
        <f t="shared" si="6"/>
        <v>-2.4231002221174469E-3</v>
      </c>
      <c r="F92" s="214"/>
      <c r="G92" s="207">
        <v>1126.75</v>
      </c>
      <c r="H92" s="186">
        <f t="shared" si="7"/>
        <v>-6.3056706940648466E-3</v>
      </c>
      <c r="I92" s="214"/>
      <c r="J92" s="207">
        <v>1111.45</v>
      </c>
      <c r="K92" s="186">
        <f t="shared" si="8"/>
        <v>-0.1003682868590392</v>
      </c>
      <c r="L92" s="214"/>
      <c r="M92" s="207">
        <v>639.79999999999995</v>
      </c>
      <c r="N92" s="186">
        <f t="shared" si="9"/>
        <v>9.7056734790499366E-3</v>
      </c>
      <c r="P92" s="207">
        <v>24768.3</v>
      </c>
      <c r="Q92" s="186">
        <f t="shared" si="10"/>
        <v>3.6672636944945491E-3</v>
      </c>
    </row>
    <row r="93" spans="3:17" x14ac:dyDescent="0.3">
      <c r="C93" s="214">
        <v>45627</v>
      </c>
      <c r="D93" s="207">
        <v>445.71</v>
      </c>
      <c r="E93" s="186">
        <f t="shared" si="6"/>
        <v>-1.1751402407928935E-2</v>
      </c>
      <c r="F93" s="214"/>
      <c r="G93" s="207">
        <v>1133.9000000000001</v>
      </c>
      <c r="H93" s="186">
        <f t="shared" si="7"/>
        <v>1.4839079225289264E-2</v>
      </c>
      <c r="I93" s="214"/>
      <c r="J93" s="207">
        <v>1235.45</v>
      </c>
      <c r="K93" s="186">
        <f t="shared" si="8"/>
        <v>-7.3916362029486926E-3</v>
      </c>
      <c r="L93" s="214"/>
      <c r="M93" s="207">
        <v>633.65</v>
      </c>
      <c r="N93" s="186">
        <f t="shared" si="9"/>
        <v>-1.7520738041708728E-2</v>
      </c>
      <c r="P93" s="207">
        <v>24677.8</v>
      </c>
      <c r="Q93" s="186">
        <f t="shared" si="10"/>
        <v>2.2655411481449228E-2</v>
      </c>
    </row>
    <row r="94" spans="3:17" x14ac:dyDescent="0.3">
      <c r="C94" s="214">
        <v>45620</v>
      </c>
      <c r="D94" s="207">
        <v>451.01</v>
      </c>
      <c r="E94" s="186">
        <f t="shared" si="6"/>
        <v>4.4318738586255346E-3</v>
      </c>
      <c r="F94" s="214"/>
      <c r="G94" s="207">
        <v>1117.32</v>
      </c>
      <c r="H94" s="186">
        <f t="shared" si="7"/>
        <v>-5.6334267788014092E-3</v>
      </c>
      <c r="I94" s="214"/>
      <c r="J94" s="207">
        <v>1244.6500000000001</v>
      </c>
      <c r="K94" s="186">
        <f t="shared" si="8"/>
        <v>4.3906734882160681E-2</v>
      </c>
      <c r="L94" s="214"/>
      <c r="M94" s="207">
        <v>644.95000000000005</v>
      </c>
      <c r="N94" s="186">
        <f t="shared" si="9"/>
        <v>7.6441625636318289E-2</v>
      </c>
      <c r="P94" s="207">
        <v>24131.1</v>
      </c>
      <c r="Q94" s="186">
        <f t="shared" si="10"/>
        <v>9.3632684645870157E-3</v>
      </c>
    </row>
    <row r="95" spans="3:17" x14ac:dyDescent="0.3">
      <c r="C95" s="214">
        <v>45613</v>
      </c>
      <c r="D95" s="207">
        <v>449.02</v>
      </c>
      <c r="E95" s="186">
        <f t="shared" si="6"/>
        <v>1.8647912885662254E-2</v>
      </c>
      <c r="F95" s="214"/>
      <c r="G95" s="207">
        <v>1123.6500000000001</v>
      </c>
      <c r="H95" s="186">
        <f t="shared" si="7"/>
        <v>2.9549202858713652E-2</v>
      </c>
      <c r="I95" s="214"/>
      <c r="J95" s="207">
        <v>1192.3</v>
      </c>
      <c r="K95" s="186">
        <f t="shared" si="8"/>
        <v>1.4637052165773268E-2</v>
      </c>
      <c r="L95" s="214"/>
      <c r="M95" s="207">
        <v>599.15</v>
      </c>
      <c r="N95" s="186">
        <f t="shared" si="9"/>
        <v>1.1650485436893065E-2</v>
      </c>
      <c r="P95" s="207">
        <v>23907.25</v>
      </c>
      <c r="Q95" s="186">
        <f t="shared" si="10"/>
        <v>1.5916150717937061E-2</v>
      </c>
    </row>
    <row r="96" spans="3:17" x14ac:dyDescent="0.3">
      <c r="C96" s="214">
        <v>45606</v>
      </c>
      <c r="D96" s="207">
        <v>440.8</v>
      </c>
      <c r="E96" s="186">
        <f t="shared" si="6"/>
        <v>-2.5296302848045293E-2</v>
      </c>
      <c r="F96" s="214"/>
      <c r="G96" s="207">
        <v>1091.4000000000001</v>
      </c>
      <c r="H96" s="186">
        <f t="shared" si="7"/>
        <v>-4.9154048544196693E-2</v>
      </c>
      <c r="I96" s="214"/>
      <c r="J96" s="207">
        <v>1175.0999999999999</v>
      </c>
      <c r="K96" s="186">
        <f t="shared" si="8"/>
        <v>-6.0709004436273584E-2</v>
      </c>
      <c r="L96" s="214"/>
      <c r="M96" s="207">
        <v>592.25</v>
      </c>
      <c r="N96" s="186">
        <f t="shared" si="9"/>
        <v>-5.9696753195205288E-2</v>
      </c>
      <c r="P96" s="207">
        <v>23532.7</v>
      </c>
      <c r="Q96" s="186">
        <f t="shared" si="10"/>
        <v>-2.5488442202731498E-2</v>
      </c>
    </row>
    <row r="97" spans="3:17" x14ac:dyDescent="0.3">
      <c r="C97" s="214">
        <v>45599</v>
      </c>
      <c r="D97" s="207">
        <v>452.24</v>
      </c>
      <c r="E97" s="186">
        <f t="shared" si="6"/>
        <v>-2.4987603216695686E-2</v>
      </c>
      <c r="F97" s="214"/>
      <c r="G97" s="207">
        <v>1147.82</v>
      </c>
      <c r="H97" s="186">
        <f t="shared" si="7"/>
        <v>5.8449809402794095E-3</v>
      </c>
      <c r="I97" s="214"/>
      <c r="J97" s="207">
        <v>1251.05</v>
      </c>
      <c r="K97" s="186">
        <f t="shared" si="8"/>
        <v>-1.8861265783075787E-2</v>
      </c>
      <c r="L97" s="214"/>
      <c r="M97" s="207">
        <v>629.85</v>
      </c>
      <c r="N97" s="186">
        <f t="shared" si="9"/>
        <v>-2.4924529762365588E-2</v>
      </c>
      <c r="P97" s="207">
        <v>24148.2</v>
      </c>
      <c r="Q97" s="186">
        <f t="shared" si="10"/>
        <v>-6.4247758117372822E-3</v>
      </c>
    </row>
    <row r="98" spans="3:17" x14ac:dyDescent="0.3">
      <c r="C98" s="214">
        <v>45592</v>
      </c>
      <c r="D98" s="207">
        <v>463.83</v>
      </c>
      <c r="E98" s="186">
        <f t="shared" si="6"/>
        <v>1.6591417174418144E-2</v>
      </c>
      <c r="F98" s="214"/>
      <c r="G98" s="207">
        <v>1141.1500000000001</v>
      </c>
      <c r="H98" s="186">
        <f t="shared" si="7"/>
        <v>9.5545627460522642E-3</v>
      </c>
      <c r="I98" s="214"/>
      <c r="J98" s="207">
        <v>1275.0999999999999</v>
      </c>
      <c r="K98" s="186">
        <f t="shared" si="8"/>
        <v>-1.2507260406582787E-2</v>
      </c>
      <c r="L98" s="214"/>
      <c r="M98" s="207">
        <v>645.95000000000005</v>
      </c>
      <c r="N98" s="186">
        <f t="shared" si="9"/>
        <v>9.1391970004686129E-3</v>
      </c>
      <c r="P98" s="207">
        <v>24304.35</v>
      </c>
      <c r="Q98" s="186">
        <f t="shared" si="10"/>
        <v>5.1094256600276999E-3</v>
      </c>
    </row>
    <row r="99" spans="3:17" x14ac:dyDescent="0.3">
      <c r="C99" s="214">
        <v>45585</v>
      </c>
      <c r="D99" s="207">
        <v>456.26</v>
      </c>
      <c r="E99" s="186">
        <f t="shared" si="6"/>
        <v>-9.0352287042266832E-3</v>
      </c>
      <c r="F99" s="214"/>
      <c r="G99" s="207">
        <v>1130.3499999999999</v>
      </c>
      <c r="H99" s="186">
        <f t="shared" si="7"/>
        <v>-3.8106422268174733E-2</v>
      </c>
      <c r="I99" s="214"/>
      <c r="J99" s="207">
        <v>1291.25</v>
      </c>
      <c r="K99" s="186">
        <f t="shared" si="8"/>
        <v>-3.3604011525652178E-2</v>
      </c>
      <c r="L99" s="214"/>
      <c r="M99" s="207">
        <v>640.1</v>
      </c>
      <c r="N99" s="186">
        <f t="shared" si="9"/>
        <v>-4.3627670700732035E-2</v>
      </c>
      <c r="P99" s="207">
        <v>24180.799999999999</v>
      </c>
      <c r="Q99" s="186">
        <f t="shared" si="10"/>
        <v>-2.7088140564616281E-2</v>
      </c>
    </row>
    <row r="100" spans="3:17" x14ac:dyDescent="0.3">
      <c r="C100" s="214">
        <v>45578</v>
      </c>
      <c r="D100" s="207">
        <v>460.42</v>
      </c>
      <c r="E100" s="186">
        <f t="shared" si="6"/>
        <v>-3.0746578901783561E-3</v>
      </c>
      <c r="F100" s="214"/>
      <c r="G100" s="207">
        <v>1175.1300000000001</v>
      </c>
      <c r="H100" s="186">
        <f t="shared" si="7"/>
        <v>-6.4312445258380424E-2</v>
      </c>
      <c r="I100" s="214"/>
      <c r="J100" s="207">
        <v>1336.15</v>
      </c>
      <c r="K100" s="186">
        <f t="shared" si="8"/>
        <v>1.5543056927871168E-2</v>
      </c>
      <c r="L100" s="214"/>
      <c r="M100" s="207">
        <v>669.3</v>
      </c>
      <c r="N100" s="186">
        <f t="shared" si="9"/>
        <v>-2.3632385120350152E-2</v>
      </c>
      <c r="P100" s="207">
        <v>24854.05</v>
      </c>
      <c r="Q100" s="186">
        <f t="shared" si="10"/>
        <v>-4.4143124668275524E-3</v>
      </c>
    </row>
    <row r="101" spans="3:17" x14ac:dyDescent="0.3">
      <c r="C101" s="214">
        <v>45571</v>
      </c>
      <c r="D101" s="207">
        <v>461.84</v>
      </c>
      <c r="E101" s="186">
        <f t="shared" si="6"/>
        <v>-3.0481148711058892E-2</v>
      </c>
      <c r="F101" s="214"/>
      <c r="G101" s="207">
        <v>1255.9000000000001</v>
      </c>
      <c r="H101" s="186">
        <f t="shared" si="7"/>
        <v>-3.3231465586919806E-2</v>
      </c>
      <c r="I101" s="214"/>
      <c r="J101" s="207">
        <v>1315.7</v>
      </c>
      <c r="K101" s="186">
        <f t="shared" si="8"/>
        <v>-2.0509957193374229E-2</v>
      </c>
      <c r="L101" s="214"/>
      <c r="M101" s="207">
        <v>685.5</v>
      </c>
      <c r="N101" s="186">
        <f t="shared" si="9"/>
        <v>-6.8096203998841975E-3</v>
      </c>
      <c r="P101" s="207">
        <v>24964.25</v>
      </c>
      <c r="Q101" s="186">
        <f t="shared" si="10"/>
        <v>-2.0128245104857889E-3</v>
      </c>
    </row>
    <row r="102" spans="3:17" x14ac:dyDescent="0.3">
      <c r="C102" s="214">
        <v>45564</v>
      </c>
      <c r="D102" s="207">
        <v>476.36</v>
      </c>
      <c r="E102" s="186">
        <f t="shared" si="6"/>
        <v>-3.6644555897104025E-2</v>
      </c>
      <c r="F102" s="214"/>
      <c r="G102" s="207">
        <v>1299.07</v>
      </c>
      <c r="H102" s="186">
        <f t="shared" si="7"/>
        <v>-5.3742215099974455E-2</v>
      </c>
      <c r="I102" s="214"/>
      <c r="J102" s="207">
        <v>1343.25</v>
      </c>
      <c r="K102" s="186">
        <f t="shared" si="8"/>
        <v>-3.2693623303208241E-2</v>
      </c>
      <c r="L102" s="214"/>
      <c r="M102" s="207">
        <v>690.2</v>
      </c>
      <c r="N102" s="186">
        <f t="shared" si="9"/>
        <v>-3.2493320817387206E-3</v>
      </c>
      <c r="P102" s="207">
        <v>25014.6</v>
      </c>
      <c r="Q102" s="186">
        <f t="shared" si="10"/>
        <v>-4.4476573735768743E-2</v>
      </c>
    </row>
    <row r="103" spans="3:17" x14ac:dyDescent="0.3">
      <c r="C103" s="214">
        <v>45557</v>
      </c>
      <c r="D103" s="207">
        <v>494.48</v>
      </c>
      <c r="E103" s="186">
        <f t="shared" si="6"/>
        <v>1.6131352362164231E-2</v>
      </c>
      <c r="F103" s="214"/>
      <c r="G103" s="207">
        <v>1372.85</v>
      </c>
      <c r="H103" s="186">
        <f t="shared" si="7"/>
        <v>1.7091674198758344E-2</v>
      </c>
      <c r="I103" s="214"/>
      <c r="J103" s="207">
        <v>1388.65</v>
      </c>
      <c r="K103" s="186">
        <f t="shared" si="8"/>
        <v>-4.6649732253192244E-2</v>
      </c>
      <c r="L103" s="214"/>
      <c r="M103" s="207">
        <v>692.45</v>
      </c>
      <c r="N103" s="186">
        <f t="shared" si="9"/>
        <v>-2.3342736248236906E-2</v>
      </c>
      <c r="P103" s="207">
        <v>26178.95</v>
      </c>
      <c r="Q103" s="186">
        <f t="shared" si="10"/>
        <v>1.5044036764834123E-2</v>
      </c>
    </row>
    <row r="104" spans="3:17" x14ac:dyDescent="0.3">
      <c r="C104" s="214">
        <v>45550</v>
      </c>
      <c r="D104" s="207">
        <v>486.63</v>
      </c>
      <c r="E104" s="186">
        <f t="shared" si="6"/>
        <v>1.0697167307811561E-3</v>
      </c>
      <c r="F104" s="214"/>
      <c r="G104" s="207">
        <v>1349.78</v>
      </c>
      <c r="H104" s="186">
        <f t="shared" si="7"/>
        <v>6.6429643675436356E-2</v>
      </c>
      <c r="I104" s="214"/>
      <c r="J104" s="207">
        <v>1456.6</v>
      </c>
      <c r="K104" s="186">
        <f t="shared" si="8"/>
        <v>-2.3268289411922494E-2</v>
      </c>
      <c r="L104" s="214"/>
      <c r="M104" s="207">
        <v>709</v>
      </c>
      <c r="N104" s="186">
        <f t="shared" si="9"/>
        <v>3.9665664638169895E-2</v>
      </c>
      <c r="P104" s="207">
        <v>25790.95</v>
      </c>
      <c r="Q104" s="186">
        <f t="shared" si="10"/>
        <v>1.7133673811448702E-2</v>
      </c>
    </row>
    <row r="105" spans="3:17" x14ac:dyDescent="0.3">
      <c r="C105" s="214">
        <v>45543</v>
      </c>
      <c r="D105" s="207">
        <v>486.11</v>
      </c>
      <c r="E105" s="186">
        <f t="shared" si="6"/>
        <v>2.4230420766524041E-2</v>
      </c>
      <c r="F105" s="214"/>
      <c r="G105" s="207">
        <v>1265.7</v>
      </c>
      <c r="H105" s="186">
        <f t="shared" si="7"/>
        <v>1.1265580057526536E-2</v>
      </c>
      <c r="I105" s="214"/>
      <c r="J105" s="207">
        <v>1491.3</v>
      </c>
      <c r="K105" s="186">
        <f t="shared" si="8"/>
        <v>3.3149745401641839E-2</v>
      </c>
      <c r="L105" s="214"/>
      <c r="M105" s="207">
        <v>681.95</v>
      </c>
      <c r="N105" s="186">
        <f t="shared" si="9"/>
        <v>2.5103344607290579E-2</v>
      </c>
      <c r="P105" s="207">
        <v>25356.5</v>
      </c>
      <c r="Q105" s="186">
        <f t="shared" si="10"/>
        <v>2.0294018827344829E-2</v>
      </c>
    </row>
    <row r="106" spans="3:17" x14ac:dyDescent="0.3">
      <c r="C106" s="214">
        <v>45536</v>
      </c>
      <c r="D106" s="207">
        <v>474.61</v>
      </c>
      <c r="E106" s="186">
        <f t="shared" si="6"/>
        <v>-4.0016849199664417E-4</v>
      </c>
      <c r="F106" s="214"/>
      <c r="G106" s="207">
        <v>1251.5999999999999</v>
      </c>
      <c r="H106" s="186">
        <f t="shared" si="7"/>
        <v>9.7570338617036789E-4</v>
      </c>
      <c r="I106" s="214"/>
      <c r="J106" s="207">
        <v>1443.45</v>
      </c>
      <c r="K106" s="186">
        <f t="shared" si="8"/>
        <v>-2.5486092357547951E-2</v>
      </c>
      <c r="L106" s="214"/>
      <c r="M106" s="207">
        <v>665.25</v>
      </c>
      <c r="N106" s="186">
        <f t="shared" si="9"/>
        <v>2.7968786216487684E-2</v>
      </c>
      <c r="P106" s="207">
        <v>24852.15</v>
      </c>
      <c r="Q106" s="186">
        <f t="shared" si="10"/>
        <v>-1.5206511358818231E-2</v>
      </c>
    </row>
    <row r="107" spans="3:17" x14ac:dyDescent="0.3">
      <c r="C107" s="214">
        <v>45529</v>
      </c>
      <c r="D107" s="207">
        <v>474.8</v>
      </c>
      <c r="E107" s="186">
        <f t="shared" si="6"/>
        <v>-7.7117599113879498E-3</v>
      </c>
      <c r="F107" s="214"/>
      <c r="G107" s="207">
        <v>1250.3800000000001</v>
      </c>
      <c r="H107" s="186">
        <f t="shared" si="7"/>
        <v>-1.124466234382393E-2</v>
      </c>
      <c r="I107" s="214"/>
      <c r="J107" s="207">
        <v>1481.2</v>
      </c>
      <c r="K107" s="186">
        <f t="shared" si="8"/>
        <v>3.7000735113942751E-2</v>
      </c>
      <c r="L107" s="214"/>
      <c r="M107" s="207">
        <v>647.15</v>
      </c>
      <c r="N107" s="186">
        <f t="shared" si="9"/>
        <v>-4.5782954880566273E-2</v>
      </c>
      <c r="P107" s="207">
        <v>25235.9</v>
      </c>
      <c r="Q107" s="186">
        <f t="shared" si="10"/>
        <v>1.6627623810837822E-2</v>
      </c>
    </row>
    <row r="108" spans="3:17" x14ac:dyDescent="0.3">
      <c r="C108" s="214">
        <v>45522</v>
      </c>
      <c r="D108" s="207">
        <v>478.49</v>
      </c>
      <c r="E108" s="186">
        <f t="shared" si="6"/>
        <v>6.2669554793801652E-3</v>
      </c>
      <c r="F108" s="214"/>
      <c r="G108" s="207">
        <v>1264.5999999999999</v>
      </c>
      <c r="H108" s="186">
        <f t="shared" si="7"/>
        <v>1.4888494678153563E-3</v>
      </c>
      <c r="I108" s="214"/>
      <c r="J108" s="207">
        <v>1428.35</v>
      </c>
      <c r="K108" s="186">
        <f t="shared" si="8"/>
        <v>1.6583039749475059E-2</v>
      </c>
      <c r="L108" s="214"/>
      <c r="M108" s="207">
        <v>678.2</v>
      </c>
      <c r="N108" s="186">
        <f t="shared" si="9"/>
        <v>2.5943574616141163E-2</v>
      </c>
      <c r="P108" s="207">
        <v>24823.15</v>
      </c>
      <c r="Q108" s="186">
        <f t="shared" si="10"/>
        <v>1.1490904052988471E-2</v>
      </c>
    </row>
    <row r="109" spans="3:17" x14ac:dyDescent="0.3">
      <c r="C109" s="214">
        <v>45515</v>
      </c>
      <c r="D109" s="207">
        <v>475.51</v>
      </c>
      <c r="E109" s="186">
        <f t="shared" si="6"/>
        <v>1.359964189030749E-2</v>
      </c>
      <c r="F109" s="214"/>
      <c r="G109" s="207">
        <v>1262.72</v>
      </c>
      <c r="H109" s="186">
        <f t="shared" si="7"/>
        <v>8.2804327863617022E-3</v>
      </c>
      <c r="I109" s="214"/>
      <c r="J109" s="207">
        <v>1405.05</v>
      </c>
      <c r="K109" s="186">
        <f t="shared" si="8"/>
        <v>-2.7512458471760759E-2</v>
      </c>
      <c r="L109" s="214"/>
      <c r="M109" s="207">
        <v>661.05</v>
      </c>
      <c r="N109" s="186">
        <f t="shared" si="9"/>
        <v>1.2327718223583473E-2</v>
      </c>
      <c r="P109" s="207">
        <v>24541.15</v>
      </c>
      <c r="Q109" s="186">
        <f t="shared" si="10"/>
        <v>7.1262952703396998E-3</v>
      </c>
    </row>
    <row r="110" spans="3:17" x14ac:dyDescent="0.3">
      <c r="C110" s="214">
        <v>45508</v>
      </c>
      <c r="D110" s="207">
        <v>469.13</v>
      </c>
      <c r="E110" s="186">
        <f t="shared" si="6"/>
        <v>1.3896693321806763E-2</v>
      </c>
      <c r="F110" s="214"/>
      <c r="G110" s="207">
        <v>1252.3499999999999</v>
      </c>
      <c r="H110" s="186">
        <f t="shared" si="7"/>
        <v>3.8475411807141757E-3</v>
      </c>
      <c r="I110" s="214"/>
      <c r="J110" s="207">
        <v>1444.8</v>
      </c>
      <c r="K110" s="186">
        <f t="shared" si="8"/>
        <v>-9.8344926840969737E-3</v>
      </c>
      <c r="L110" s="214"/>
      <c r="M110" s="207">
        <v>653</v>
      </c>
      <c r="N110" s="186">
        <f t="shared" si="9"/>
        <v>-1.4190821256038655E-2</v>
      </c>
      <c r="P110" s="207">
        <v>24367.5</v>
      </c>
      <c r="Q110" s="186">
        <f t="shared" si="10"/>
        <v>-1.4167984885325113E-2</v>
      </c>
    </row>
    <row r="111" spans="3:17" x14ac:dyDescent="0.3">
      <c r="C111" s="214">
        <v>45501</v>
      </c>
      <c r="D111" s="207">
        <v>462.7</v>
      </c>
      <c r="E111" s="186">
        <f t="shared" si="6"/>
        <v>-2.6079269191100596E-2</v>
      </c>
      <c r="F111" s="214"/>
      <c r="G111" s="207">
        <v>1247.55</v>
      </c>
      <c r="H111" s="186">
        <f t="shared" si="7"/>
        <v>7.3478945456013633E-3</v>
      </c>
      <c r="I111" s="214"/>
      <c r="J111" s="207">
        <v>1459.15</v>
      </c>
      <c r="K111" s="186">
        <f t="shared" si="8"/>
        <v>-5.6899488926746011E-3</v>
      </c>
      <c r="L111" s="214"/>
      <c r="M111" s="207">
        <v>662.4</v>
      </c>
      <c r="N111" s="186">
        <f t="shared" si="9"/>
        <v>-2.5524089738874656E-2</v>
      </c>
      <c r="P111" s="207">
        <v>24717.7</v>
      </c>
      <c r="Q111" s="186">
        <f t="shared" si="10"/>
        <v>-4.7171615693268887E-3</v>
      </c>
    </row>
    <row r="112" spans="3:17" x14ac:dyDescent="0.3">
      <c r="C112" s="214">
        <v>45494</v>
      </c>
      <c r="D112" s="207">
        <v>475.09</v>
      </c>
      <c r="E112" s="186">
        <f t="shared" si="6"/>
        <v>5.8271890940681192E-2</v>
      </c>
      <c r="F112" s="214"/>
      <c r="G112" s="207">
        <v>1238.45</v>
      </c>
      <c r="H112" s="186">
        <f t="shared" si="7"/>
        <v>-4.6561400537365349E-2</v>
      </c>
      <c r="I112" s="214"/>
      <c r="J112" s="207">
        <v>1467.5</v>
      </c>
      <c r="K112" s="186">
        <f t="shared" si="8"/>
        <v>1.0744541635098859E-2</v>
      </c>
      <c r="L112" s="214"/>
      <c r="M112" s="207">
        <v>679.75</v>
      </c>
      <c r="N112" s="186">
        <f t="shared" si="9"/>
        <v>1.6600613175802081E-2</v>
      </c>
      <c r="P112" s="207">
        <v>24834.85</v>
      </c>
      <c r="Q112" s="186">
        <f t="shared" si="10"/>
        <v>1.2390495252925682E-2</v>
      </c>
    </row>
    <row r="113" spans="3:17" x14ac:dyDescent="0.3">
      <c r="C113" s="214">
        <v>45487</v>
      </c>
      <c r="D113" s="207">
        <v>448.93</v>
      </c>
      <c r="E113" s="186">
        <f t="shared" si="6"/>
        <v>3.3757800446726716E-2</v>
      </c>
      <c r="F113" s="214"/>
      <c r="G113" s="207">
        <v>1298.93</v>
      </c>
      <c r="H113" s="186">
        <f t="shared" si="7"/>
        <v>-4.2698351858949657E-3</v>
      </c>
      <c r="I113" s="214"/>
      <c r="J113" s="207">
        <v>1451.9</v>
      </c>
      <c r="K113" s="186">
        <f t="shared" si="8"/>
        <v>5.5405498995775293E-3</v>
      </c>
      <c r="L113" s="214"/>
      <c r="M113" s="207">
        <v>668.65</v>
      </c>
      <c r="N113" s="186">
        <f t="shared" si="9"/>
        <v>2.8534071681279638E-2</v>
      </c>
      <c r="P113" s="207">
        <v>24530.9</v>
      </c>
      <c r="Q113" s="186">
        <f t="shared" si="10"/>
        <v>1.1733664188653403E-3</v>
      </c>
    </row>
    <row r="114" spans="3:17" x14ac:dyDescent="0.3">
      <c r="C114" s="214">
        <v>45480</v>
      </c>
      <c r="D114" s="207">
        <v>434.27</v>
      </c>
      <c r="E114" s="186">
        <f t="shared" si="6"/>
        <v>5.8575468018720711E-2</v>
      </c>
      <c r="F114" s="214"/>
      <c r="G114" s="207">
        <v>1304.5</v>
      </c>
      <c r="H114" s="186">
        <f t="shared" si="7"/>
        <v>1.354238697195953E-2</v>
      </c>
      <c r="I114" s="214"/>
      <c r="J114" s="207">
        <v>1443.9</v>
      </c>
      <c r="K114" s="186">
        <f t="shared" si="8"/>
        <v>5.1026350269326004E-2</v>
      </c>
      <c r="L114" s="214"/>
      <c r="M114" s="207">
        <v>650.1</v>
      </c>
      <c r="N114" s="186">
        <f t="shared" si="9"/>
        <v>5.647192654586819E-2</v>
      </c>
      <c r="P114" s="207">
        <v>24502.15</v>
      </c>
      <c r="Q114" s="186">
        <f t="shared" si="10"/>
        <v>7.3302540510651326E-3</v>
      </c>
    </row>
    <row r="115" spans="3:17" x14ac:dyDescent="0.3">
      <c r="C115" s="214">
        <v>45473</v>
      </c>
      <c r="D115" s="207">
        <v>410.24</v>
      </c>
      <c r="E115" s="186">
        <f t="shared" si="6"/>
        <v>2.0599064583540772E-2</v>
      </c>
      <c r="F115" s="214"/>
      <c r="G115" s="207">
        <v>1287.07</v>
      </c>
      <c r="H115" s="186">
        <f t="shared" si="7"/>
        <v>8.8178583185716253E-3</v>
      </c>
      <c r="I115" s="214"/>
      <c r="J115" s="207">
        <v>1373.8</v>
      </c>
      <c r="K115" s="186">
        <f t="shared" si="8"/>
        <v>-1.4899880074135119E-3</v>
      </c>
      <c r="L115" s="214"/>
      <c r="M115" s="207">
        <v>615.35</v>
      </c>
      <c r="N115" s="186">
        <f t="shared" si="9"/>
        <v>3.8336052202283533E-3</v>
      </c>
      <c r="P115" s="207">
        <v>24323.85</v>
      </c>
      <c r="Q115" s="186">
        <f t="shared" si="10"/>
        <v>1.3046321208133094E-2</v>
      </c>
    </row>
    <row r="116" spans="3:17" x14ac:dyDescent="0.3">
      <c r="C116" s="214">
        <v>45466</v>
      </c>
      <c r="D116" s="207">
        <v>401.96</v>
      </c>
      <c r="E116" s="186">
        <f t="shared" si="6"/>
        <v>1.2621236931603441E-2</v>
      </c>
      <c r="F116" s="214"/>
      <c r="G116" s="207">
        <v>1275.82</v>
      </c>
      <c r="H116" s="186">
        <f t="shared" si="7"/>
        <v>2.130963816842768E-2</v>
      </c>
      <c r="I116" s="214"/>
      <c r="J116" s="207">
        <v>1375.85</v>
      </c>
      <c r="K116" s="186">
        <f t="shared" si="8"/>
        <v>1.4003021704683594E-2</v>
      </c>
      <c r="L116" s="214"/>
      <c r="M116" s="207">
        <v>613</v>
      </c>
      <c r="N116" s="186">
        <f t="shared" si="9"/>
        <v>5.2476221712036697E-3</v>
      </c>
      <c r="P116" s="207">
        <v>24010.6</v>
      </c>
      <c r="Q116" s="186">
        <f t="shared" si="10"/>
        <v>2.1679836262983532E-2</v>
      </c>
    </row>
    <row r="117" spans="3:17" x14ac:dyDescent="0.3">
      <c r="C117" s="214">
        <v>45459</v>
      </c>
      <c r="D117" s="207">
        <v>396.95</v>
      </c>
      <c r="E117" s="186">
        <f t="shared" si="6"/>
        <v>-2.6773236570475922E-2</v>
      </c>
      <c r="F117" s="214"/>
      <c r="G117" s="207">
        <v>1249.2</v>
      </c>
      <c r="H117" s="186">
        <f t="shared" si="7"/>
        <v>-1.7345132743362801E-2</v>
      </c>
      <c r="I117" s="214"/>
      <c r="J117" s="207">
        <v>1356.85</v>
      </c>
      <c r="K117" s="186">
        <f t="shared" si="8"/>
        <v>-2.5916220969884107E-2</v>
      </c>
      <c r="L117" s="214"/>
      <c r="M117" s="207">
        <v>609.79999999999995</v>
      </c>
      <c r="N117" s="186">
        <f t="shared" si="9"/>
        <v>-1.5419391297327945E-2</v>
      </c>
      <c r="P117" s="207">
        <v>23501.1</v>
      </c>
      <c r="Q117" s="186">
        <f t="shared" si="10"/>
        <v>1.5128528569481325E-3</v>
      </c>
    </row>
    <row r="118" spans="3:17" x14ac:dyDescent="0.3">
      <c r="C118" s="214">
        <v>45452</v>
      </c>
      <c r="D118" s="207">
        <v>407.87</v>
      </c>
      <c r="E118" s="186">
        <f t="shared" si="6"/>
        <v>-1.8221644521471236E-2</v>
      </c>
      <c r="F118" s="214"/>
      <c r="G118" s="207">
        <v>1271.25</v>
      </c>
      <c r="H118" s="186">
        <f t="shared" si="7"/>
        <v>1.6008375825194543E-2</v>
      </c>
      <c r="I118" s="214"/>
      <c r="J118" s="207">
        <v>1392.95</v>
      </c>
      <c r="K118" s="186">
        <f t="shared" si="8"/>
        <v>-2.4476503956859741E-2</v>
      </c>
      <c r="L118" s="214"/>
      <c r="M118" s="207">
        <v>619.35</v>
      </c>
      <c r="N118" s="186">
        <f t="shared" si="9"/>
        <v>-5.1531393568146955E-2</v>
      </c>
      <c r="P118" s="207">
        <v>23465.599999999999</v>
      </c>
      <c r="Q118" s="186">
        <f t="shared" si="10"/>
        <v>7.5332275661599279E-3</v>
      </c>
    </row>
    <row r="119" spans="3:17" x14ac:dyDescent="0.3">
      <c r="C119" s="214">
        <v>45445</v>
      </c>
      <c r="D119" s="207">
        <v>415.44</v>
      </c>
      <c r="E119" s="186">
        <f t="shared" si="6"/>
        <v>2.9769724611456772E-2</v>
      </c>
      <c r="F119" s="214"/>
      <c r="G119" s="207">
        <v>1251.22</v>
      </c>
      <c r="H119" s="186">
        <f t="shared" si="7"/>
        <v>6.2652341925347077E-2</v>
      </c>
      <c r="I119" s="214"/>
      <c r="J119" s="207">
        <v>1427.9</v>
      </c>
      <c r="K119" s="186">
        <f t="shared" si="8"/>
        <v>0.12402093911126877</v>
      </c>
      <c r="L119" s="214"/>
      <c r="M119" s="207">
        <v>653</v>
      </c>
      <c r="N119" s="186">
        <f t="shared" si="9"/>
        <v>9.6465452103098093E-2</v>
      </c>
      <c r="P119" s="207">
        <v>23290.15</v>
      </c>
      <c r="Q119" s="186">
        <f t="shared" si="10"/>
        <v>3.3707341538434354E-2</v>
      </c>
    </row>
    <row r="120" spans="3:17" x14ac:dyDescent="0.3">
      <c r="C120" s="214">
        <v>45438</v>
      </c>
      <c r="D120" s="207">
        <v>403.43</v>
      </c>
      <c r="E120" s="186">
        <f t="shared" si="6"/>
        <v>-2.2343390282321463E-2</v>
      </c>
      <c r="F120" s="214"/>
      <c r="G120" s="207">
        <v>1177.45</v>
      </c>
      <c r="H120" s="186">
        <f t="shared" si="7"/>
        <v>-4.57337828638118E-2</v>
      </c>
      <c r="I120" s="214"/>
      <c r="J120" s="207">
        <v>1270.3499999999999</v>
      </c>
      <c r="K120" s="186">
        <f t="shared" si="8"/>
        <v>-3.0526195291334379E-2</v>
      </c>
      <c r="L120" s="214"/>
      <c r="M120" s="207">
        <v>595.54999999999995</v>
      </c>
      <c r="N120" s="186">
        <f t="shared" si="9"/>
        <v>-1.3990066225165632E-2</v>
      </c>
      <c r="P120" s="207">
        <v>22530.7</v>
      </c>
      <c r="Q120" s="186">
        <f t="shared" si="10"/>
        <v>-1.8573774562117951E-2</v>
      </c>
    </row>
    <row r="121" spans="3:17" x14ac:dyDescent="0.3">
      <c r="C121" s="214">
        <v>45431</v>
      </c>
      <c r="D121" s="207">
        <v>412.65</v>
      </c>
      <c r="E121" s="186">
        <f t="shared" si="6"/>
        <v>-2.1805494984739049E-4</v>
      </c>
      <c r="F121" s="214"/>
      <c r="G121" s="207">
        <v>1233.8800000000001</v>
      </c>
      <c r="H121" s="186">
        <f t="shared" si="7"/>
        <v>9.1024330402782461E-3</v>
      </c>
      <c r="I121" s="214"/>
      <c r="J121" s="207">
        <v>1310.3499999999999</v>
      </c>
      <c r="K121" s="186">
        <f t="shared" si="8"/>
        <v>1.177515249787664E-2</v>
      </c>
      <c r="L121" s="214"/>
      <c r="M121" s="207">
        <v>604</v>
      </c>
      <c r="N121" s="186">
        <f t="shared" si="9"/>
        <v>1.1640566116740692E-2</v>
      </c>
      <c r="P121" s="207">
        <v>22957.1</v>
      </c>
      <c r="Q121" s="186">
        <f t="shared" si="10"/>
        <v>2.1855150649200406E-2</v>
      </c>
    </row>
    <row r="122" spans="3:17" x14ac:dyDescent="0.3">
      <c r="C122" s="214">
        <v>45424</v>
      </c>
      <c r="D122" s="207">
        <v>412.74</v>
      </c>
      <c r="E122" s="186">
        <f t="shared" si="6"/>
        <v>6.8057080131724845E-3</v>
      </c>
      <c r="F122" s="214"/>
      <c r="G122" s="207">
        <v>1222.75</v>
      </c>
      <c r="H122" s="186">
        <f t="shared" si="7"/>
        <v>-3.4620243170693121E-2</v>
      </c>
      <c r="I122" s="214"/>
      <c r="J122" s="207">
        <v>1295.0999999999999</v>
      </c>
      <c r="K122" s="186">
        <f t="shared" si="8"/>
        <v>-1.9569249403838196E-2</v>
      </c>
      <c r="L122" s="214"/>
      <c r="M122" s="207">
        <v>597.04999999999995</v>
      </c>
      <c r="N122" s="186">
        <f t="shared" si="9"/>
        <v>1.6861108745635622E-2</v>
      </c>
      <c r="P122" s="207">
        <v>22466.1</v>
      </c>
      <c r="Q122" s="186">
        <f t="shared" si="10"/>
        <v>1.8630527041241907E-2</v>
      </c>
    </row>
    <row r="123" spans="3:17" x14ac:dyDescent="0.3">
      <c r="C123" s="214">
        <v>45417</v>
      </c>
      <c r="D123" s="207">
        <v>409.95</v>
      </c>
      <c r="E123" s="186">
        <f t="shared" si="6"/>
        <v>-7.1205405798154819E-3</v>
      </c>
      <c r="F123" s="214"/>
      <c r="G123" s="207">
        <v>1266.5999999999999</v>
      </c>
      <c r="H123" s="186">
        <f t="shared" si="7"/>
        <v>3.1391229998778414E-2</v>
      </c>
      <c r="I123" s="214"/>
      <c r="J123" s="207">
        <v>1320.95</v>
      </c>
      <c r="K123" s="186">
        <f t="shared" si="8"/>
        <v>5.5746483375959111E-2</v>
      </c>
      <c r="L123" s="214"/>
      <c r="M123" s="207">
        <v>587.15</v>
      </c>
      <c r="N123" s="186">
        <f t="shared" si="9"/>
        <v>0.1359063648674792</v>
      </c>
      <c r="P123" s="207">
        <v>22055.200000000001</v>
      </c>
      <c r="Q123" s="186">
        <f t="shared" si="10"/>
        <v>-1.8715643679771743E-2</v>
      </c>
    </row>
    <row r="124" spans="3:17" x14ac:dyDescent="0.3">
      <c r="C124" s="214">
        <v>45410</v>
      </c>
      <c r="D124" s="207">
        <v>412.89</v>
      </c>
      <c r="E124" s="186">
        <f t="shared" si="6"/>
        <v>-8.0720720720720562E-3</v>
      </c>
      <c r="F124" s="214"/>
      <c r="G124" s="207">
        <v>1228.05</v>
      </c>
      <c r="H124" s="186">
        <f t="shared" si="7"/>
        <v>-1.0738049589972598E-2</v>
      </c>
      <c r="I124" s="214"/>
      <c r="J124" s="207">
        <v>1251.2</v>
      </c>
      <c r="K124" s="186">
        <f t="shared" si="8"/>
        <v>4.0498960498960512E-2</v>
      </c>
      <c r="L124" s="214"/>
      <c r="M124" s="207">
        <v>516.9</v>
      </c>
      <c r="N124" s="186">
        <f t="shared" si="9"/>
        <v>-1.8345080621802179E-3</v>
      </c>
      <c r="P124" s="207">
        <v>22475.85</v>
      </c>
      <c r="Q124" s="186">
        <f t="shared" si="10"/>
        <v>2.4933151055197555E-3</v>
      </c>
    </row>
    <row r="125" spans="3:17" x14ac:dyDescent="0.3">
      <c r="C125" s="214">
        <v>45403</v>
      </c>
      <c r="D125" s="207">
        <v>416.25</v>
      </c>
      <c r="E125" s="186">
        <f t="shared" si="6"/>
        <v>3.5911602209944826E-2</v>
      </c>
      <c r="F125" s="214"/>
      <c r="G125" s="207">
        <v>1241.3800000000001</v>
      </c>
      <c r="H125" s="186">
        <f t="shared" si="7"/>
        <v>1.8484637157976991E-2</v>
      </c>
      <c r="I125" s="214"/>
      <c r="J125" s="207">
        <v>1202.5</v>
      </c>
      <c r="K125" s="186">
        <f t="shared" si="8"/>
        <v>2.8788980621978988E-2</v>
      </c>
      <c r="L125" s="214"/>
      <c r="M125" s="207">
        <v>517.85</v>
      </c>
      <c r="N125" s="186">
        <f t="shared" si="9"/>
        <v>2.4836730655056316E-2</v>
      </c>
      <c r="P125" s="207">
        <v>22419.95</v>
      </c>
      <c r="Q125" s="186">
        <f t="shared" si="10"/>
        <v>1.2324468325281002E-2</v>
      </c>
    </row>
    <row r="126" spans="3:17" x14ac:dyDescent="0.3">
      <c r="C126" s="214">
        <v>45396</v>
      </c>
      <c r="D126" s="207">
        <v>401.82</v>
      </c>
      <c r="E126" s="186">
        <f t="shared" si="6"/>
        <v>-1.243609909555643E-2</v>
      </c>
      <c r="F126" s="214"/>
      <c r="G126" s="207">
        <v>1218.8499999999999</v>
      </c>
      <c r="H126" s="186">
        <f t="shared" si="7"/>
        <v>-3.8837631101648173E-2</v>
      </c>
      <c r="I126" s="214"/>
      <c r="J126" s="207">
        <v>1168.8499999999999</v>
      </c>
      <c r="K126" s="186">
        <f t="shared" si="8"/>
        <v>-2.575536570118786E-2</v>
      </c>
      <c r="L126" s="214"/>
      <c r="M126" s="207">
        <v>505.3</v>
      </c>
      <c r="N126" s="186">
        <f t="shared" si="9"/>
        <v>-1.7976872995821513E-2</v>
      </c>
      <c r="P126" s="207">
        <v>22147</v>
      </c>
      <c r="Q126" s="186">
        <f t="shared" si="10"/>
        <v>-1.6536852669254087E-2</v>
      </c>
    </row>
    <row r="127" spans="3:17" x14ac:dyDescent="0.3">
      <c r="C127" s="214">
        <v>45389</v>
      </c>
      <c r="D127" s="207">
        <v>406.88</v>
      </c>
      <c r="E127" s="186">
        <f t="shared" si="6"/>
        <v>5.9584147155535838E-3</v>
      </c>
      <c r="F127" s="214"/>
      <c r="G127" s="207">
        <v>1268.0999999999999</v>
      </c>
      <c r="H127" s="186">
        <f t="shared" si="7"/>
        <v>-5.6745637679100902E-4</v>
      </c>
      <c r="I127" s="214"/>
      <c r="J127" s="207">
        <v>1199.75</v>
      </c>
      <c r="K127" s="186">
        <f t="shared" si="8"/>
        <v>-8.5530121477562782E-3</v>
      </c>
      <c r="L127" s="214"/>
      <c r="M127" s="207">
        <v>514.54999999999995</v>
      </c>
      <c r="N127" s="186">
        <f t="shared" si="9"/>
        <v>9.911678115799738E-3</v>
      </c>
      <c r="P127" s="207">
        <v>22519.4</v>
      </c>
      <c r="Q127" s="186">
        <f t="shared" si="10"/>
        <v>2.5317917534661838E-4</v>
      </c>
    </row>
    <row r="128" spans="3:17" x14ac:dyDescent="0.3">
      <c r="C128" s="214">
        <v>45382</v>
      </c>
      <c r="D128" s="207">
        <v>404.47</v>
      </c>
      <c r="E128" s="186">
        <f t="shared" si="6"/>
        <v>-1.875478123534724E-3</v>
      </c>
      <c r="F128" s="214"/>
      <c r="G128" s="207">
        <v>1268.82</v>
      </c>
      <c r="H128" s="186">
        <f t="shared" si="7"/>
        <v>-3.2306777101542172E-2</v>
      </c>
      <c r="I128" s="214"/>
      <c r="J128" s="207">
        <v>1210.0999999999999</v>
      </c>
      <c r="K128" s="186">
        <f t="shared" si="8"/>
        <v>-3.3312030675826887E-2</v>
      </c>
      <c r="L128" s="214"/>
      <c r="M128" s="207">
        <v>509.5</v>
      </c>
      <c r="N128" s="186">
        <f t="shared" si="9"/>
        <v>2.4738535800482797E-2</v>
      </c>
      <c r="P128" s="207">
        <v>22513.7</v>
      </c>
      <c r="Q128" s="186">
        <f t="shared" si="10"/>
        <v>8.3665891816597782E-3</v>
      </c>
    </row>
    <row r="129" spans="3:17" x14ac:dyDescent="0.3">
      <c r="C129" s="214">
        <v>45375</v>
      </c>
      <c r="D129" s="207">
        <v>405.23</v>
      </c>
      <c r="E129" s="186">
        <f t="shared" si="6"/>
        <v>-5.6725694273163096E-4</v>
      </c>
      <c r="F129" s="214"/>
      <c r="G129" s="207">
        <v>1311.18</v>
      </c>
      <c r="H129" s="186">
        <f t="shared" si="7"/>
        <v>1.9025413849382167E-2</v>
      </c>
      <c r="I129" s="214"/>
      <c r="J129" s="207">
        <v>1251.8</v>
      </c>
      <c r="K129" s="186">
        <f t="shared" si="8"/>
        <v>2.4679736422052123E-2</v>
      </c>
      <c r="L129" s="214"/>
      <c r="M129" s="207">
        <v>497.2</v>
      </c>
      <c r="N129" s="186">
        <f t="shared" si="9"/>
        <v>-1.1049723756906271E-3</v>
      </c>
      <c r="P129" s="207">
        <v>22326.9</v>
      </c>
      <c r="Q129" s="186">
        <f t="shared" si="10"/>
        <v>1.0415558849152129E-2</v>
      </c>
    </row>
    <row r="130" spans="3:17" x14ac:dyDescent="0.3">
      <c r="C130" s="214">
        <v>45368</v>
      </c>
      <c r="D130" s="207">
        <v>405.46</v>
      </c>
      <c r="E130" s="186">
        <f t="shared" si="6"/>
        <v>2.2675107826569452E-2</v>
      </c>
      <c r="F130" s="214"/>
      <c r="G130" s="207">
        <v>1286.7</v>
      </c>
      <c r="H130" s="186">
        <f t="shared" si="7"/>
        <v>-1.1614508918283528E-2</v>
      </c>
      <c r="I130" s="214"/>
      <c r="J130" s="207">
        <v>1221.6500000000001</v>
      </c>
      <c r="K130" s="186">
        <f t="shared" si="8"/>
        <v>7.3802259421127392E-3</v>
      </c>
      <c r="L130" s="214"/>
      <c r="M130" s="207">
        <v>497.75</v>
      </c>
      <c r="N130" s="186">
        <f t="shared" si="9"/>
        <v>-4.7985604318704356E-3</v>
      </c>
      <c r="P130" s="207">
        <v>22096.75</v>
      </c>
      <c r="Q130" s="186">
        <f t="shared" si="10"/>
        <v>3.3328262957270649E-3</v>
      </c>
    </row>
    <row r="131" spans="3:17" x14ac:dyDescent="0.3">
      <c r="C131" s="214">
        <v>45361</v>
      </c>
      <c r="D131" s="207">
        <v>396.47</v>
      </c>
      <c r="E131" s="186">
        <f t="shared" si="6"/>
        <v>1.3419559327232822E-2</v>
      </c>
      <c r="F131" s="214"/>
      <c r="G131" s="207">
        <v>1301.82</v>
      </c>
      <c r="H131" s="186">
        <f t="shared" si="7"/>
        <v>1.6673565175287175E-2</v>
      </c>
      <c r="I131" s="214"/>
      <c r="J131" s="207">
        <v>1212.7</v>
      </c>
      <c r="K131" s="186">
        <f t="shared" si="8"/>
        <v>-1.7459995948956863E-2</v>
      </c>
      <c r="L131" s="214"/>
      <c r="M131" s="207">
        <v>500.15</v>
      </c>
      <c r="N131" s="186">
        <f t="shared" si="9"/>
        <v>-2.8080062184220878E-2</v>
      </c>
      <c r="P131" s="207">
        <v>22023.35</v>
      </c>
      <c r="Q131" s="186">
        <f t="shared" si="10"/>
        <v>-2.0903770191899484E-2</v>
      </c>
    </row>
    <row r="132" spans="3:17" x14ac:dyDescent="0.3">
      <c r="C132" s="214">
        <v>45354</v>
      </c>
      <c r="D132" s="207">
        <v>391.22</v>
      </c>
      <c r="E132" s="186">
        <f t="shared" si="6"/>
        <v>9.886677508454067E-3</v>
      </c>
      <c r="F132" s="214"/>
      <c r="G132" s="207">
        <v>1280.47</v>
      </c>
      <c r="H132" s="186">
        <f t="shared" si="7"/>
        <v>-1.5568300633495347E-2</v>
      </c>
      <c r="I132" s="214"/>
      <c r="J132" s="207">
        <v>1234.25</v>
      </c>
      <c r="K132" s="186">
        <f t="shared" si="8"/>
        <v>-2.6194327192394229E-2</v>
      </c>
      <c r="L132" s="214"/>
      <c r="M132" s="207">
        <v>514.6</v>
      </c>
      <c r="N132" s="186">
        <f t="shared" si="9"/>
        <v>-1.8407248450166835E-2</v>
      </c>
      <c r="P132" s="207">
        <v>22493.55</v>
      </c>
      <c r="Q132" s="186">
        <f t="shared" si="10"/>
        <v>6.929662581836471E-3</v>
      </c>
    </row>
    <row r="133" spans="3:17" x14ac:dyDescent="0.3">
      <c r="C133" s="214">
        <v>45347</v>
      </c>
      <c r="D133" s="207">
        <v>387.39</v>
      </c>
      <c r="E133" s="186">
        <f t="shared" si="6"/>
        <v>-4.6249903646033985E-3</v>
      </c>
      <c r="F133" s="214"/>
      <c r="G133" s="207">
        <v>1300.72</v>
      </c>
      <c r="H133" s="186">
        <f t="shared" si="7"/>
        <v>8.7010469174098048E-3</v>
      </c>
      <c r="I133" s="214"/>
      <c r="J133" s="207">
        <v>1267.45</v>
      </c>
      <c r="K133" s="186">
        <f t="shared" si="8"/>
        <v>1.3189975618529859E-2</v>
      </c>
      <c r="L133" s="214"/>
      <c r="M133" s="207">
        <v>524.25</v>
      </c>
      <c r="N133" s="186">
        <f t="shared" si="9"/>
        <v>-1.1128925775723775E-2</v>
      </c>
      <c r="P133" s="207">
        <v>22338.75</v>
      </c>
      <c r="Q133" s="186">
        <f t="shared" si="10"/>
        <v>5.6746816010659895E-3</v>
      </c>
    </row>
    <row r="134" spans="3:17" x14ac:dyDescent="0.3">
      <c r="C134" s="214">
        <v>45340</v>
      </c>
      <c r="D134" s="207">
        <v>389.19</v>
      </c>
      <c r="E134" s="186">
        <f t="shared" ref="E134:E197" si="11">D134/D135-1</f>
        <v>1.6799038562023139E-2</v>
      </c>
      <c r="F134" s="214"/>
      <c r="G134" s="207">
        <v>1289.5</v>
      </c>
      <c r="H134" s="186">
        <f t="shared" ref="H134:H197" si="12">G134/G135-1</f>
        <v>3.6725571224132114E-2</v>
      </c>
      <c r="I134" s="214"/>
      <c r="J134" s="207">
        <v>1250.95</v>
      </c>
      <c r="K134" s="186">
        <f t="shared" ref="K134:K197" si="13">J134/J135-1</f>
        <v>7.7335159302374112E-3</v>
      </c>
      <c r="L134" s="214"/>
      <c r="M134" s="207">
        <v>530.15</v>
      </c>
      <c r="N134" s="186">
        <f t="shared" ref="N134:N197" si="14">M134/M135-1</f>
        <v>1.212294768995803E-2</v>
      </c>
      <c r="P134" s="207">
        <v>22212.7</v>
      </c>
      <c r="Q134" s="186">
        <f t="shared" ref="Q134:Q197" si="15">P134/P135-1</f>
        <v>7.8037448901351336E-3</v>
      </c>
    </row>
    <row r="135" spans="3:17" x14ac:dyDescent="0.3">
      <c r="C135" s="214">
        <v>45333</v>
      </c>
      <c r="D135" s="207">
        <v>382.76</v>
      </c>
      <c r="E135" s="186">
        <f t="shared" si="11"/>
        <v>-2.622942478438961E-2</v>
      </c>
      <c r="F135" s="214"/>
      <c r="G135" s="207">
        <v>1243.82</v>
      </c>
      <c r="H135" s="186">
        <f t="shared" si="12"/>
        <v>1.5321823599036666E-2</v>
      </c>
      <c r="I135" s="214"/>
      <c r="J135" s="207">
        <v>1241.3499999999999</v>
      </c>
      <c r="K135" s="186">
        <f t="shared" si="13"/>
        <v>1.8627169408771849E-2</v>
      </c>
      <c r="L135" s="214"/>
      <c r="M135" s="207">
        <v>523.79999999999995</v>
      </c>
      <c r="N135" s="186">
        <f t="shared" si="14"/>
        <v>6.0501296456352271E-3</v>
      </c>
      <c r="P135" s="207">
        <v>22040.7</v>
      </c>
      <c r="Q135" s="186">
        <f t="shared" si="15"/>
        <v>1.1853552163433978E-2</v>
      </c>
    </row>
    <row r="136" spans="3:17" x14ac:dyDescent="0.3">
      <c r="C136" s="214">
        <v>45326</v>
      </c>
      <c r="D136" s="207">
        <v>393.07</v>
      </c>
      <c r="E136" s="186">
        <f t="shared" si="11"/>
        <v>-5.5891819186241976E-2</v>
      </c>
      <c r="F136" s="214"/>
      <c r="G136" s="207">
        <v>1225.05</v>
      </c>
      <c r="H136" s="186">
        <f t="shared" si="12"/>
        <v>-1.2613847021842539E-2</v>
      </c>
      <c r="I136" s="214"/>
      <c r="J136" s="207">
        <v>1218.6500000000001</v>
      </c>
      <c r="K136" s="186">
        <f t="shared" si="13"/>
        <v>-1.4714799692767788E-2</v>
      </c>
      <c r="L136" s="214"/>
      <c r="M136" s="207">
        <v>520.65</v>
      </c>
      <c r="N136" s="186">
        <f t="shared" si="14"/>
        <v>-1.6713881019830068E-2</v>
      </c>
      <c r="P136" s="207">
        <v>21782.5</v>
      </c>
      <c r="Q136" s="186">
        <f t="shared" si="15"/>
        <v>-3.2625904876955047E-3</v>
      </c>
    </row>
    <row r="137" spans="3:17" x14ac:dyDescent="0.3">
      <c r="C137" s="214">
        <v>45319</v>
      </c>
      <c r="D137" s="207">
        <v>416.34</v>
      </c>
      <c r="E137" s="186">
        <f t="shared" si="11"/>
        <v>-3.4125971465027383E-2</v>
      </c>
      <c r="F137" s="214"/>
      <c r="G137" s="207">
        <v>1240.7</v>
      </c>
      <c r="H137" s="186">
        <f t="shared" si="12"/>
        <v>-2.981298395737797E-4</v>
      </c>
      <c r="I137" s="214"/>
      <c r="J137" s="207">
        <v>1236.8499999999999</v>
      </c>
      <c r="K137" s="186">
        <f t="shared" si="13"/>
        <v>6.8737578847317016E-2</v>
      </c>
      <c r="L137" s="214"/>
      <c r="M137" s="207">
        <v>529.5</v>
      </c>
      <c r="N137" s="186">
        <f t="shared" si="14"/>
        <v>8.379356313083175E-3</v>
      </c>
      <c r="P137" s="207">
        <v>21853.8</v>
      </c>
      <c r="Q137" s="186">
        <f t="shared" si="15"/>
        <v>2.3472551352060167E-2</v>
      </c>
    </row>
    <row r="138" spans="3:17" x14ac:dyDescent="0.3">
      <c r="C138" s="214">
        <v>45312</v>
      </c>
      <c r="D138" s="207">
        <v>431.05</v>
      </c>
      <c r="E138" s="186">
        <f t="shared" si="11"/>
        <v>-3.3628516982401102E-2</v>
      </c>
      <c r="F138" s="214"/>
      <c r="G138" s="207">
        <v>1241.07</v>
      </c>
      <c r="H138" s="186">
        <f t="shared" si="12"/>
        <v>-1.2728010373328491E-2</v>
      </c>
      <c r="I138" s="214"/>
      <c r="J138" s="207">
        <v>1157.3</v>
      </c>
      <c r="K138" s="186">
        <f t="shared" si="13"/>
        <v>7.0045681966499629E-3</v>
      </c>
      <c r="L138" s="214"/>
      <c r="M138" s="207">
        <v>525.1</v>
      </c>
      <c r="N138" s="186">
        <f t="shared" si="14"/>
        <v>-9.7123998114096999E-3</v>
      </c>
      <c r="P138" s="207">
        <v>21352.6</v>
      </c>
      <c r="Q138" s="186">
        <f t="shared" si="15"/>
        <v>-1.2477800799171379E-2</v>
      </c>
    </row>
    <row r="139" spans="3:17" x14ac:dyDescent="0.3">
      <c r="C139" s="214">
        <v>45305</v>
      </c>
      <c r="D139" s="207">
        <v>446.05</v>
      </c>
      <c r="E139" s="186">
        <f t="shared" si="11"/>
        <v>1.0305775764439362E-2</v>
      </c>
      <c r="F139" s="214"/>
      <c r="G139" s="207">
        <v>1257.07</v>
      </c>
      <c r="H139" s="186">
        <f t="shared" si="12"/>
        <v>-1.3908064010040855E-2</v>
      </c>
      <c r="I139" s="214"/>
      <c r="J139" s="207">
        <v>1149.25</v>
      </c>
      <c r="K139" s="186">
        <f t="shared" si="13"/>
        <v>-5.4089138900909051E-3</v>
      </c>
      <c r="L139" s="214"/>
      <c r="M139" s="207">
        <v>530.25</v>
      </c>
      <c r="N139" s="186">
        <f t="shared" si="14"/>
        <v>-4.9727903921935601E-3</v>
      </c>
      <c r="P139" s="207">
        <v>21622.400000000001</v>
      </c>
      <c r="Q139" s="186">
        <f t="shared" si="15"/>
        <v>-1.2430033958222397E-2</v>
      </c>
    </row>
    <row r="140" spans="3:17" x14ac:dyDescent="0.3">
      <c r="C140" s="214">
        <v>45298</v>
      </c>
      <c r="D140" s="207">
        <v>441.5</v>
      </c>
      <c r="E140" s="186">
        <f t="shared" si="11"/>
        <v>-1.5300205192256278E-2</v>
      </c>
      <c r="F140" s="214"/>
      <c r="G140" s="207">
        <v>1274.8</v>
      </c>
      <c r="H140" s="186">
        <f t="shared" si="12"/>
        <v>-4.3804380438043911E-2</v>
      </c>
      <c r="I140" s="214"/>
      <c r="J140" s="207">
        <v>1155.5</v>
      </c>
      <c r="K140" s="186">
        <f t="shared" si="13"/>
        <v>-5.2752387588637872E-2</v>
      </c>
      <c r="L140" s="214"/>
      <c r="M140" s="207">
        <v>532.9</v>
      </c>
      <c r="N140" s="186">
        <f t="shared" si="14"/>
        <v>-2.3992673992674018E-2</v>
      </c>
      <c r="P140" s="207">
        <v>21894.55</v>
      </c>
      <c r="Q140" s="186">
        <f t="shared" si="15"/>
        <v>8.4635296718684749E-3</v>
      </c>
    </row>
    <row r="141" spans="3:17" x14ac:dyDescent="0.3">
      <c r="C141" s="214">
        <v>45291</v>
      </c>
      <c r="D141" s="207">
        <v>448.36</v>
      </c>
      <c r="E141" s="186">
        <f t="shared" si="11"/>
        <v>2.5643371840329499E-2</v>
      </c>
      <c r="F141" s="214"/>
      <c r="G141" s="207">
        <v>1333.2</v>
      </c>
      <c r="H141" s="186">
        <f t="shared" si="12"/>
        <v>3.1451746399602243E-3</v>
      </c>
      <c r="I141" s="214"/>
      <c r="J141" s="207">
        <v>1219.8499999999999</v>
      </c>
      <c r="K141" s="186">
        <f t="shared" si="13"/>
        <v>7.8368104667609462E-2</v>
      </c>
      <c r="L141" s="214"/>
      <c r="M141" s="207">
        <v>546</v>
      </c>
      <c r="N141" s="186">
        <f t="shared" si="14"/>
        <v>-4.5578851412944044E-3</v>
      </c>
      <c r="P141" s="207">
        <v>21710.799999999999</v>
      </c>
      <c r="Q141" s="186">
        <f t="shared" si="15"/>
        <v>-9.479370864280412E-4</v>
      </c>
    </row>
    <row r="142" spans="3:17" x14ac:dyDescent="0.3">
      <c r="C142" s="214">
        <v>45284</v>
      </c>
      <c r="D142" s="207">
        <v>437.15</v>
      </c>
      <c r="E142" s="186">
        <f t="shared" si="11"/>
        <v>1.5140607946496853E-2</v>
      </c>
      <c r="F142" s="214"/>
      <c r="G142" s="207">
        <v>1329.02</v>
      </c>
      <c r="H142" s="186">
        <f t="shared" si="12"/>
        <v>4.7775973258068927E-2</v>
      </c>
      <c r="I142" s="214"/>
      <c r="J142" s="207">
        <v>1131.2</v>
      </c>
      <c r="K142" s="186">
        <f t="shared" si="13"/>
        <v>5.3013730509657853E-2</v>
      </c>
      <c r="L142" s="214"/>
      <c r="M142" s="207">
        <v>548.5</v>
      </c>
      <c r="N142" s="186">
        <f t="shared" si="14"/>
        <v>4.9058047241082425E-2</v>
      </c>
      <c r="P142" s="207">
        <v>21731.4</v>
      </c>
      <c r="Q142" s="186">
        <f t="shared" si="15"/>
        <v>1.7892774504201459E-2</v>
      </c>
    </row>
    <row r="143" spans="3:17" x14ac:dyDescent="0.3">
      <c r="C143" s="214">
        <v>45277</v>
      </c>
      <c r="D143" s="207">
        <v>430.63</v>
      </c>
      <c r="E143" s="186">
        <f t="shared" si="11"/>
        <v>-6.5288607945369614E-3</v>
      </c>
      <c r="F143" s="214"/>
      <c r="G143" s="207">
        <v>1268.42</v>
      </c>
      <c r="H143" s="186">
        <f t="shared" si="12"/>
        <v>4.1122201063759967E-2</v>
      </c>
      <c r="I143" s="214"/>
      <c r="J143" s="207">
        <v>1074.25</v>
      </c>
      <c r="K143" s="186">
        <f t="shared" si="13"/>
        <v>3.0801708007484496E-2</v>
      </c>
      <c r="L143" s="214"/>
      <c r="M143" s="207">
        <v>522.85</v>
      </c>
      <c r="N143" s="186">
        <f t="shared" si="14"/>
        <v>-2.307548579970109E-2</v>
      </c>
      <c r="P143" s="207">
        <v>21349.4</v>
      </c>
      <c r="Q143" s="186">
        <f t="shared" si="15"/>
        <v>-4.9984503638732525E-3</v>
      </c>
    </row>
    <row r="144" spans="3:17" x14ac:dyDescent="0.3">
      <c r="C144" s="214">
        <v>45270</v>
      </c>
      <c r="D144" s="207">
        <v>433.46</v>
      </c>
      <c r="E144" s="186">
        <f t="shared" si="11"/>
        <v>2.0145916686279186E-2</v>
      </c>
      <c r="F144" s="214"/>
      <c r="G144" s="207">
        <v>1218.32</v>
      </c>
      <c r="H144" s="186">
        <f t="shared" si="12"/>
        <v>-1.707167521864017E-2</v>
      </c>
      <c r="I144" s="214"/>
      <c r="J144" s="207">
        <v>1042.1500000000001</v>
      </c>
      <c r="K144" s="186">
        <f t="shared" si="13"/>
        <v>2.0165434878371302E-2</v>
      </c>
      <c r="L144" s="214"/>
      <c r="M144" s="207">
        <v>535.20000000000005</v>
      </c>
      <c r="N144" s="186">
        <f t="shared" si="14"/>
        <v>8.8595664467483459E-3</v>
      </c>
      <c r="P144" s="207">
        <v>21456.65</v>
      </c>
      <c r="Q144" s="186">
        <f t="shared" si="15"/>
        <v>2.3236239472755438E-2</v>
      </c>
    </row>
    <row r="145" spans="3:17" x14ac:dyDescent="0.3">
      <c r="C145" s="214">
        <v>45263</v>
      </c>
      <c r="D145" s="207">
        <v>424.9</v>
      </c>
      <c r="E145" s="186">
        <f t="shared" si="11"/>
        <v>-1.4570407971423727E-3</v>
      </c>
      <c r="F145" s="214"/>
      <c r="G145" s="207">
        <v>1239.48</v>
      </c>
      <c r="H145" s="186">
        <f t="shared" si="12"/>
        <v>1.8530235921540239E-2</v>
      </c>
      <c r="I145" s="214"/>
      <c r="J145" s="207">
        <v>1021.55</v>
      </c>
      <c r="K145" s="186">
        <f t="shared" si="13"/>
        <v>-3.7546323385997393E-3</v>
      </c>
      <c r="L145" s="214"/>
      <c r="M145" s="207">
        <v>530.5</v>
      </c>
      <c r="N145" s="186">
        <f t="shared" si="14"/>
        <v>-1.1920283106723772E-2</v>
      </c>
      <c r="P145" s="207">
        <v>20969.400000000001</v>
      </c>
      <c r="Q145" s="186">
        <f t="shared" si="15"/>
        <v>3.4611380557433069E-2</v>
      </c>
    </row>
    <row r="146" spans="3:17" x14ac:dyDescent="0.3">
      <c r="C146" s="214">
        <v>45256</v>
      </c>
      <c r="D146" s="207">
        <v>425.52</v>
      </c>
      <c r="E146" s="186">
        <f t="shared" si="11"/>
        <v>2.7429012941858177E-2</v>
      </c>
      <c r="F146" s="214"/>
      <c r="G146" s="207">
        <v>1216.93</v>
      </c>
      <c r="H146" s="186">
        <f t="shared" si="12"/>
        <v>8.2687766684619302E-3</v>
      </c>
      <c r="I146" s="214"/>
      <c r="J146" s="207">
        <v>1025.4000000000001</v>
      </c>
      <c r="K146" s="186">
        <f t="shared" si="13"/>
        <v>1.5750371471025426E-2</v>
      </c>
      <c r="L146" s="214"/>
      <c r="M146" s="207">
        <v>536.9</v>
      </c>
      <c r="N146" s="186">
        <f t="shared" si="14"/>
        <v>2.5303160507972988E-2</v>
      </c>
      <c r="P146" s="207">
        <v>20267.900000000001</v>
      </c>
      <c r="Q146" s="186">
        <f t="shared" si="15"/>
        <v>2.3905388816198414E-2</v>
      </c>
    </row>
    <row r="147" spans="3:17" x14ac:dyDescent="0.3">
      <c r="C147" s="214">
        <v>45249</v>
      </c>
      <c r="D147" s="207">
        <v>414.16</v>
      </c>
      <c r="E147" s="186">
        <f t="shared" si="11"/>
        <v>-3.3209799297300169E-3</v>
      </c>
      <c r="F147" s="214"/>
      <c r="G147" s="207">
        <v>1206.95</v>
      </c>
      <c r="H147" s="186">
        <f t="shared" si="12"/>
        <v>-9.6007877569441735E-3</v>
      </c>
      <c r="I147" s="214"/>
      <c r="J147" s="207">
        <v>1009.5</v>
      </c>
      <c r="K147" s="186">
        <f t="shared" si="13"/>
        <v>1.2588394603540776E-2</v>
      </c>
      <c r="L147" s="214"/>
      <c r="M147" s="207">
        <v>523.65</v>
      </c>
      <c r="N147" s="186">
        <f t="shared" si="14"/>
        <v>-1.1887913954146789E-2</v>
      </c>
      <c r="P147" s="207">
        <v>19794.7</v>
      </c>
      <c r="Q147" s="186">
        <f t="shared" si="15"/>
        <v>3.1877476966115648E-3</v>
      </c>
    </row>
    <row r="148" spans="3:17" x14ac:dyDescent="0.3">
      <c r="C148" s="214">
        <v>45242</v>
      </c>
      <c r="D148" s="207">
        <v>415.54</v>
      </c>
      <c r="E148" s="186">
        <f t="shared" si="11"/>
        <v>6.1988474018113138E-3</v>
      </c>
      <c r="F148" s="214"/>
      <c r="G148" s="207">
        <v>1218.6500000000001</v>
      </c>
      <c r="H148" s="186">
        <f t="shared" si="12"/>
        <v>9.7691530086341238E-3</v>
      </c>
      <c r="I148" s="214"/>
      <c r="J148" s="207">
        <v>996.95</v>
      </c>
      <c r="K148" s="186">
        <f t="shared" si="13"/>
        <v>1.2851772833485819E-2</v>
      </c>
      <c r="L148" s="214"/>
      <c r="M148" s="207">
        <v>529.95000000000005</v>
      </c>
      <c r="N148" s="186">
        <f t="shared" si="14"/>
        <v>1.6690647482014542E-2</v>
      </c>
      <c r="P148" s="207">
        <v>19731.8</v>
      </c>
      <c r="Q148" s="186">
        <f t="shared" si="15"/>
        <v>1.5775777527818002E-2</v>
      </c>
    </row>
    <row r="149" spans="3:17" x14ac:dyDescent="0.3">
      <c r="C149" s="214">
        <v>45235</v>
      </c>
      <c r="D149" s="207">
        <v>412.98</v>
      </c>
      <c r="E149" s="186">
        <f t="shared" si="11"/>
        <v>7.6123554384424086E-3</v>
      </c>
      <c r="F149" s="214"/>
      <c r="G149" s="207">
        <v>1206.8599999999999</v>
      </c>
      <c r="H149" s="186">
        <f t="shared" si="12"/>
        <v>5.7585732738862916E-3</v>
      </c>
      <c r="I149" s="214"/>
      <c r="J149" s="207">
        <v>984.3</v>
      </c>
      <c r="K149" s="186">
        <f t="shared" si="13"/>
        <v>-3.5661800724992698E-2</v>
      </c>
      <c r="L149" s="214"/>
      <c r="M149" s="207">
        <v>521.25</v>
      </c>
      <c r="N149" s="186">
        <f t="shared" si="14"/>
        <v>-1.2877568412082097E-2</v>
      </c>
      <c r="P149" s="207">
        <v>19425.349999999999</v>
      </c>
      <c r="Q149" s="186">
        <f t="shared" si="15"/>
        <v>1.0127089118384225E-2</v>
      </c>
    </row>
    <row r="150" spans="3:17" x14ac:dyDescent="0.3">
      <c r="C150" s="214">
        <v>45228</v>
      </c>
      <c r="D150" s="207">
        <v>409.86</v>
      </c>
      <c r="E150" s="186">
        <f t="shared" si="11"/>
        <v>-1.1454195403698408E-3</v>
      </c>
      <c r="F150" s="214"/>
      <c r="G150" s="207">
        <v>1199.95</v>
      </c>
      <c r="H150" s="186">
        <f t="shared" si="12"/>
        <v>-2.4109406825455482E-3</v>
      </c>
      <c r="I150" s="214"/>
      <c r="J150" s="207">
        <v>1020.7</v>
      </c>
      <c r="K150" s="186">
        <f t="shared" si="13"/>
        <v>3.3881995441884083E-2</v>
      </c>
      <c r="L150" s="214"/>
      <c r="M150" s="207">
        <v>528.04999999999995</v>
      </c>
      <c r="N150" s="186">
        <f t="shared" si="14"/>
        <v>-1.8038121803812257E-2</v>
      </c>
      <c r="P150" s="207">
        <v>19230.599999999999</v>
      </c>
      <c r="Q150" s="186">
        <f t="shared" si="15"/>
        <v>9.6260615049414966E-3</v>
      </c>
    </row>
    <row r="151" spans="3:17" x14ac:dyDescent="0.3">
      <c r="C151" s="214">
        <v>45221</v>
      </c>
      <c r="D151" s="207">
        <v>410.33</v>
      </c>
      <c r="E151" s="186">
        <f t="shared" si="11"/>
        <v>-1.0394559135635695E-2</v>
      </c>
      <c r="F151" s="214"/>
      <c r="G151" s="207">
        <v>1202.8499999999999</v>
      </c>
      <c r="H151" s="186">
        <f t="shared" si="12"/>
        <v>-9.1681905797460495E-3</v>
      </c>
      <c r="I151" s="214"/>
      <c r="J151" s="207">
        <v>987.25</v>
      </c>
      <c r="K151" s="186">
        <f t="shared" si="13"/>
        <v>-9.1079289581541545E-4</v>
      </c>
      <c r="L151" s="214"/>
      <c r="M151" s="207">
        <v>537.75</v>
      </c>
      <c r="N151" s="186">
        <f t="shared" si="14"/>
        <v>-7.1085672082717988E-3</v>
      </c>
      <c r="P151" s="207">
        <v>19047.25</v>
      </c>
      <c r="Q151" s="186">
        <f t="shared" si="15"/>
        <v>-2.5349683896503383E-2</v>
      </c>
    </row>
    <row r="152" spans="3:17" x14ac:dyDescent="0.3">
      <c r="C152" s="214">
        <v>45214</v>
      </c>
      <c r="D152" s="207">
        <v>414.64</v>
      </c>
      <c r="E152" s="186">
        <f t="shared" si="11"/>
        <v>-2.2398264723911931E-2</v>
      </c>
      <c r="F152" s="214"/>
      <c r="G152" s="207">
        <v>1213.98</v>
      </c>
      <c r="H152" s="186">
        <f t="shared" si="12"/>
        <v>3.0788302822402525E-2</v>
      </c>
      <c r="I152" s="214"/>
      <c r="J152" s="207">
        <v>988.15</v>
      </c>
      <c r="K152" s="186">
        <f t="shared" si="13"/>
        <v>5.2901978737474042E-3</v>
      </c>
      <c r="L152" s="214"/>
      <c r="M152" s="207">
        <v>541.6</v>
      </c>
      <c r="N152" s="186">
        <f t="shared" si="14"/>
        <v>-1.1066027296201542E-3</v>
      </c>
      <c r="P152" s="207">
        <v>19542.650000000001</v>
      </c>
      <c r="Q152" s="186">
        <f t="shared" si="15"/>
        <v>-1.0551337776978809E-2</v>
      </c>
    </row>
    <row r="153" spans="3:17" x14ac:dyDescent="0.3">
      <c r="C153" s="214">
        <v>45207</v>
      </c>
      <c r="D153" s="207">
        <v>424.14</v>
      </c>
      <c r="E153" s="186">
        <f t="shared" si="11"/>
        <v>1.4009754231615323E-2</v>
      </c>
      <c r="F153" s="214"/>
      <c r="G153" s="207">
        <v>1177.72</v>
      </c>
      <c r="H153" s="186">
        <f t="shared" si="12"/>
        <v>2.8028735782683611E-2</v>
      </c>
      <c r="I153" s="214"/>
      <c r="J153" s="207">
        <v>982.95</v>
      </c>
      <c r="K153" s="186">
        <f t="shared" si="13"/>
        <v>1.1629702053208568E-2</v>
      </c>
      <c r="L153" s="214"/>
      <c r="M153" s="207">
        <v>542.20000000000005</v>
      </c>
      <c r="N153" s="186">
        <f t="shared" si="14"/>
        <v>8.8380314447855657E-3</v>
      </c>
      <c r="P153" s="207">
        <v>19751.05</v>
      </c>
      <c r="Q153" s="186">
        <f t="shared" si="15"/>
        <v>4.9634925076957881E-3</v>
      </c>
    </row>
    <row r="154" spans="3:17" x14ac:dyDescent="0.3">
      <c r="C154" s="214">
        <v>45200</v>
      </c>
      <c r="D154" s="207">
        <v>418.28</v>
      </c>
      <c r="E154" s="186">
        <f t="shared" si="11"/>
        <v>-5.0664827192503648E-3</v>
      </c>
      <c r="F154" s="214"/>
      <c r="G154" s="207">
        <v>1145.6099999999999</v>
      </c>
      <c r="H154" s="186">
        <f t="shared" si="12"/>
        <v>1.8012334050153678E-2</v>
      </c>
      <c r="I154" s="214"/>
      <c r="J154" s="207">
        <v>971.65</v>
      </c>
      <c r="K154" s="186">
        <f t="shared" si="13"/>
        <v>-2.0118999596611564E-2</v>
      </c>
      <c r="L154" s="214"/>
      <c r="M154" s="207">
        <v>537.45000000000005</v>
      </c>
      <c r="N154" s="186">
        <f t="shared" si="14"/>
        <v>-4.3087331968307496E-2</v>
      </c>
      <c r="P154" s="207">
        <v>19653.5</v>
      </c>
      <c r="Q154" s="186">
        <f t="shared" si="15"/>
        <v>7.7399774929598486E-4</v>
      </c>
    </row>
    <row r="155" spans="3:17" x14ac:dyDescent="0.3">
      <c r="C155" s="214">
        <v>45193</v>
      </c>
      <c r="D155" s="207">
        <v>420.41</v>
      </c>
      <c r="E155" s="186">
        <f t="shared" si="11"/>
        <v>2.934300300586834E-3</v>
      </c>
      <c r="F155" s="214"/>
      <c r="G155" s="207">
        <v>1125.3399999999999</v>
      </c>
      <c r="H155" s="186">
        <f t="shared" si="12"/>
        <v>-1.1450076777648199E-3</v>
      </c>
      <c r="I155" s="214"/>
      <c r="J155" s="207">
        <v>991.6</v>
      </c>
      <c r="K155" s="186">
        <f t="shared" si="13"/>
        <v>5.5265426152208974E-3</v>
      </c>
      <c r="L155" s="214"/>
      <c r="M155" s="207">
        <v>561.65</v>
      </c>
      <c r="N155" s="186">
        <f t="shared" si="14"/>
        <v>-2.1345182087471715E-2</v>
      </c>
      <c r="P155" s="207">
        <v>19638.3</v>
      </c>
      <c r="Q155" s="186">
        <f t="shared" si="15"/>
        <v>-1.8272615220402688E-3</v>
      </c>
    </row>
    <row r="156" spans="3:17" x14ac:dyDescent="0.3">
      <c r="C156" s="214">
        <v>45186</v>
      </c>
      <c r="D156" s="207">
        <v>419.18</v>
      </c>
      <c r="E156" s="186">
        <f t="shared" si="11"/>
        <v>-1.1694251897958141E-2</v>
      </c>
      <c r="F156" s="214"/>
      <c r="G156" s="207">
        <v>1126.6300000000001</v>
      </c>
      <c r="H156" s="186">
        <f t="shared" si="12"/>
        <v>-3.960711159833985E-3</v>
      </c>
      <c r="I156" s="214"/>
      <c r="J156" s="207">
        <v>986.15</v>
      </c>
      <c r="K156" s="186">
        <f t="shared" si="13"/>
        <v>-1.5867471683049694E-2</v>
      </c>
      <c r="L156" s="214"/>
      <c r="M156" s="207">
        <v>573.9</v>
      </c>
      <c r="N156" s="186">
        <f t="shared" si="14"/>
        <v>-1.0773075928639186E-2</v>
      </c>
      <c r="P156" s="207">
        <v>19674.25</v>
      </c>
      <c r="Q156" s="186">
        <f t="shared" si="15"/>
        <v>-2.5658231954180599E-2</v>
      </c>
    </row>
    <row r="157" spans="3:17" x14ac:dyDescent="0.3">
      <c r="C157" s="214">
        <v>45179</v>
      </c>
      <c r="D157" s="207">
        <v>424.14</v>
      </c>
      <c r="E157" s="186">
        <f t="shared" si="11"/>
        <v>1.287164179104483E-2</v>
      </c>
      <c r="F157" s="214"/>
      <c r="G157" s="207">
        <v>1131.1099999999999</v>
      </c>
      <c r="H157" s="186">
        <f t="shared" si="12"/>
        <v>3.3770198142867525E-2</v>
      </c>
      <c r="I157" s="214"/>
      <c r="J157" s="207">
        <v>1002.05</v>
      </c>
      <c r="K157" s="186">
        <f t="shared" si="13"/>
        <v>-1.7886896010977149E-2</v>
      </c>
      <c r="L157" s="214"/>
      <c r="M157" s="207">
        <v>580.15</v>
      </c>
      <c r="N157" s="186">
        <f t="shared" si="14"/>
        <v>-1.1079860223301763E-2</v>
      </c>
      <c r="P157" s="207">
        <v>20192.349999999999</v>
      </c>
      <c r="Q157" s="186">
        <f t="shared" si="15"/>
        <v>1.8789149316723597E-2</v>
      </c>
    </row>
    <row r="158" spans="3:17" x14ac:dyDescent="0.3">
      <c r="C158" s="214">
        <v>45172</v>
      </c>
      <c r="D158" s="207">
        <v>418.75</v>
      </c>
      <c r="E158" s="186">
        <f t="shared" si="11"/>
        <v>3.6190202281660699E-3</v>
      </c>
      <c r="F158" s="214"/>
      <c r="G158" s="207">
        <v>1094.1600000000001</v>
      </c>
      <c r="H158" s="186">
        <f t="shared" si="12"/>
        <v>-1.4783989486939486E-3</v>
      </c>
      <c r="I158" s="214"/>
      <c r="J158" s="207">
        <v>1020.3</v>
      </c>
      <c r="K158" s="186">
        <f t="shared" si="13"/>
        <v>1.4870443129258337E-2</v>
      </c>
      <c r="L158" s="214"/>
      <c r="M158" s="207">
        <v>586.65</v>
      </c>
      <c r="N158" s="186">
        <f t="shared" si="14"/>
        <v>3.0385527355756503E-2</v>
      </c>
      <c r="P158" s="207">
        <v>19819.95</v>
      </c>
      <c r="Q158" s="186">
        <f t="shared" si="15"/>
        <v>1.9791307569216876E-2</v>
      </c>
    </row>
    <row r="159" spans="3:17" x14ac:dyDescent="0.3">
      <c r="C159" s="214">
        <v>45165</v>
      </c>
      <c r="D159" s="207">
        <v>417.24</v>
      </c>
      <c r="E159" s="186">
        <f t="shared" si="11"/>
        <v>-5.1976539030089697E-3</v>
      </c>
      <c r="F159" s="214"/>
      <c r="G159" s="207">
        <v>1095.78</v>
      </c>
      <c r="H159" s="186">
        <f t="shared" si="12"/>
        <v>-1.2303615370054977E-2</v>
      </c>
      <c r="I159" s="214"/>
      <c r="J159" s="207">
        <v>1005.35</v>
      </c>
      <c r="K159" s="186">
        <f t="shared" si="13"/>
        <v>-2.426359974765846E-2</v>
      </c>
      <c r="L159" s="214"/>
      <c r="M159" s="207">
        <v>569.35</v>
      </c>
      <c r="N159" s="186">
        <f t="shared" si="14"/>
        <v>1.6333452338450405E-2</v>
      </c>
      <c r="P159" s="207">
        <v>19435.3</v>
      </c>
      <c r="Q159" s="186">
        <f t="shared" si="15"/>
        <v>8.7979736112697715E-3</v>
      </c>
    </row>
    <row r="160" spans="3:17" x14ac:dyDescent="0.3">
      <c r="C160" s="214">
        <v>45158</v>
      </c>
      <c r="D160" s="207">
        <v>419.42</v>
      </c>
      <c r="E160" s="186">
        <f t="shared" si="11"/>
        <v>3.8534261985112561E-3</v>
      </c>
      <c r="F160" s="214"/>
      <c r="G160" s="207">
        <v>1109.43</v>
      </c>
      <c r="H160" s="186">
        <f t="shared" si="12"/>
        <v>1.642693540998641E-2</v>
      </c>
      <c r="I160" s="214"/>
      <c r="J160" s="207">
        <v>1030.3499999999999</v>
      </c>
      <c r="K160" s="186">
        <f t="shared" si="13"/>
        <v>3.7995031418966985E-3</v>
      </c>
      <c r="L160" s="214"/>
      <c r="M160" s="207">
        <v>560.20000000000005</v>
      </c>
      <c r="N160" s="186">
        <f t="shared" si="14"/>
        <v>1.7158420335905644E-2</v>
      </c>
      <c r="P160" s="207">
        <v>19265.8</v>
      </c>
      <c r="Q160" s="186">
        <f t="shared" si="15"/>
        <v>-2.2967196008317758E-3</v>
      </c>
    </row>
    <row r="161" spans="3:17" x14ac:dyDescent="0.3">
      <c r="C161" s="214">
        <v>45151</v>
      </c>
      <c r="D161" s="207">
        <v>417.81</v>
      </c>
      <c r="E161" s="186">
        <f t="shared" si="11"/>
        <v>-1.5806086874587733E-2</v>
      </c>
      <c r="F161" s="214"/>
      <c r="G161" s="207">
        <v>1091.5</v>
      </c>
      <c r="H161" s="186">
        <f t="shared" si="12"/>
        <v>-5.6770318280030541E-4</v>
      </c>
      <c r="I161" s="214"/>
      <c r="J161" s="207">
        <v>1026.45</v>
      </c>
      <c r="K161" s="186">
        <f t="shared" si="13"/>
        <v>6.175562417291669E-3</v>
      </c>
      <c r="L161" s="214"/>
      <c r="M161" s="207">
        <v>550.75</v>
      </c>
      <c r="N161" s="186">
        <f t="shared" si="14"/>
        <v>-4.541121414334004E-2</v>
      </c>
      <c r="P161" s="207">
        <v>19310.150000000001</v>
      </c>
      <c r="Q161" s="186">
        <f t="shared" si="15"/>
        <v>-6.0813349598265454E-3</v>
      </c>
    </row>
    <row r="162" spans="3:17" x14ac:dyDescent="0.3">
      <c r="C162" s="214">
        <v>45144</v>
      </c>
      <c r="D162" s="207">
        <v>424.52</v>
      </c>
      <c r="E162" s="186">
        <f t="shared" si="11"/>
        <v>-1.3638792722879267E-2</v>
      </c>
      <c r="F162" s="214"/>
      <c r="G162" s="207">
        <v>1092.1199999999999</v>
      </c>
      <c r="H162" s="186">
        <f t="shared" si="12"/>
        <v>-2.7255237280889411E-2</v>
      </c>
      <c r="I162" s="214"/>
      <c r="J162" s="207">
        <v>1020.15</v>
      </c>
      <c r="K162" s="186">
        <f t="shared" si="13"/>
        <v>2.5551569947424024E-3</v>
      </c>
      <c r="L162" s="214"/>
      <c r="M162" s="207">
        <v>576.95000000000005</v>
      </c>
      <c r="N162" s="186">
        <f t="shared" si="14"/>
        <v>1.3016313779936617E-3</v>
      </c>
      <c r="P162" s="207">
        <v>19428.3</v>
      </c>
      <c r="Q162" s="186">
        <f t="shared" si="15"/>
        <v>-4.5447558538710409E-3</v>
      </c>
    </row>
    <row r="163" spans="3:17" x14ac:dyDescent="0.3">
      <c r="C163" s="214">
        <v>45137</v>
      </c>
      <c r="D163" s="207">
        <v>430.39</v>
      </c>
      <c r="E163" s="186">
        <f t="shared" si="11"/>
        <v>-2.8815777597256176E-2</v>
      </c>
      <c r="F163" s="214"/>
      <c r="G163" s="207">
        <v>1122.72</v>
      </c>
      <c r="H163" s="186">
        <f t="shared" si="12"/>
        <v>-1.1832213869489294E-3</v>
      </c>
      <c r="I163" s="214"/>
      <c r="J163" s="207">
        <v>1017.55</v>
      </c>
      <c r="K163" s="186">
        <f t="shared" si="13"/>
        <v>-1.7761474974661073E-2</v>
      </c>
      <c r="L163" s="214"/>
      <c r="M163" s="207">
        <v>576.20000000000005</v>
      </c>
      <c r="N163" s="186">
        <f t="shared" si="14"/>
        <v>3.2210324714896377E-3</v>
      </c>
      <c r="P163" s="207">
        <v>19517</v>
      </c>
      <c r="Q163" s="186">
        <f t="shared" si="15"/>
        <v>-6.568750461288575E-3</v>
      </c>
    </row>
    <row r="164" spans="3:17" x14ac:dyDescent="0.3">
      <c r="C164" s="214">
        <v>45130</v>
      </c>
      <c r="D164" s="207">
        <v>443.16</v>
      </c>
      <c r="E164" s="186">
        <f t="shared" si="11"/>
        <v>-4.4852037847274651E-2</v>
      </c>
      <c r="F164" s="214"/>
      <c r="G164" s="207">
        <v>1124.05</v>
      </c>
      <c r="H164" s="186">
        <f t="shared" si="12"/>
        <v>-2.1825206895651594E-2</v>
      </c>
      <c r="I164" s="214"/>
      <c r="J164" s="207">
        <v>1035.95</v>
      </c>
      <c r="K164" s="186">
        <f t="shared" si="13"/>
        <v>-1.9497420850882463E-2</v>
      </c>
      <c r="L164" s="214"/>
      <c r="M164" s="207">
        <v>574.35</v>
      </c>
      <c r="N164" s="186">
        <f t="shared" si="14"/>
        <v>6.6276803118908489E-2</v>
      </c>
      <c r="P164" s="207">
        <v>19646.05</v>
      </c>
      <c r="Q164" s="186">
        <f t="shared" si="15"/>
        <v>-5.0113952899468739E-3</v>
      </c>
    </row>
    <row r="165" spans="3:17" x14ac:dyDescent="0.3">
      <c r="C165" s="214">
        <v>45123</v>
      </c>
      <c r="D165" s="207">
        <v>463.97</v>
      </c>
      <c r="E165" s="186">
        <f t="shared" si="11"/>
        <v>3.7105751391465658E-2</v>
      </c>
      <c r="F165" s="214"/>
      <c r="G165" s="207">
        <v>1149.1300000000001</v>
      </c>
      <c r="H165" s="186">
        <f t="shared" si="12"/>
        <v>-6.7162243927737508E-3</v>
      </c>
      <c r="I165" s="214"/>
      <c r="J165" s="207">
        <v>1056.55</v>
      </c>
      <c r="K165" s="186">
        <f t="shared" si="13"/>
        <v>-6.0209793499225173E-3</v>
      </c>
      <c r="L165" s="214"/>
      <c r="M165" s="207">
        <v>538.65</v>
      </c>
      <c r="N165" s="186">
        <f t="shared" si="14"/>
        <v>-1.4829919362314703E-3</v>
      </c>
      <c r="P165" s="207">
        <v>19745</v>
      </c>
      <c r="Q165" s="186">
        <f t="shared" si="15"/>
        <v>9.225893838329613E-3</v>
      </c>
    </row>
    <row r="166" spans="3:17" x14ac:dyDescent="0.3">
      <c r="C166" s="214">
        <v>45116</v>
      </c>
      <c r="D166" s="207">
        <v>447.37</v>
      </c>
      <c r="E166" s="186">
        <f t="shared" si="11"/>
        <v>9.613865631558749E-3</v>
      </c>
      <c r="F166" s="214"/>
      <c r="G166" s="207">
        <v>1156.9000000000001</v>
      </c>
      <c r="H166" s="186">
        <f t="shared" si="12"/>
        <v>1.0119530956684386E-2</v>
      </c>
      <c r="I166" s="214"/>
      <c r="J166" s="207">
        <v>1062.95</v>
      </c>
      <c r="K166" s="186">
        <f t="shared" si="13"/>
        <v>3.2938076416355599E-4</v>
      </c>
      <c r="L166" s="214"/>
      <c r="M166" s="207">
        <v>539.45000000000005</v>
      </c>
      <c r="N166" s="186">
        <f t="shared" si="14"/>
        <v>4.3322696064210575E-2</v>
      </c>
      <c r="P166" s="207">
        <v>19564.5</v>
      </c>
      <c r="Q166" s="186">
        <f t="shared" si="15"/>
        <v>1.2037161567986399E-2</v>
      </c>
    </row>
    <row r="167" spans="3:17" x14ac:dyDescent="0.3">
      <c r="C167" s="214">
        <v>45109</v>
      </c>
      <c r="D167" s="207">
        <v>443.11</v>
      </c>
      <c r="E167" s="186">
        <f t="shared" si="11"/>
        <v>3.7193951594026498E-2</v>
      </c>
      <c r="F167" s="214"/>
      <c r="G167" s="207">
        <v>1145.31</v>
      </c>
      <c r="H167" s="186">
        <f t="shared" si="12"/>
        <v>5.2415022145346768E-4</v>
      </c>
      <c r="I167" s="214"/>
      <c r="J167" s="207">
        <v>1062.5999999999999</v>
      </c>
      <c r="K167" s="186">
        <f t="shared" si="13"/>
        <v>-1.7021276595744816E-2</v>
      </c>
      <c r="L167" s="214"/>
      <c r="M167" s="207">
        <v>517.04999999999995</v>
      </c>
      <c r="N167" s="186">
        <f t="shared" si="14"/>
        <v>-2.6179489594123861E-2</v>
      </c>
      <c r="P167" s="207">
        <v>19331.8</v>
      </c>
      <c r="Q167" s="186">
        <f t="shared" si="15"/>
        <v>7.4391384669902916E-3</v>
      </c>
    </row>
    <row r="168" spans="3:17" x14ac:dyDescent="0.3">
      <c r="C168" s="214">
        <v>45102</v>
      </c>
      <c r="D168" s="207">
        <v>427.22</v>
      </c>
      <c r="E168" s="186">
        <f t="shared" si="11"/>
        <v>1.5401435565907784E-2</v>
      </c>
      <c r="F168" s="214"/>
      <c r="G168" s="207">
        <v>1144.71</v>
      </c>
      <c r="H168" s="186">
        <f t="shared" si="12"/>
        <v>1.5858506975258368E-2</v>
      </c>
      <c r="I168" s="214"/>
      <c r="J168" s="207">
        <v>1081</v>
      </c>
      <c r="K168" s="186">
        <f t="shared" si="13"/>
        <v>4.3486654761330179E-2</v>
      </c>
      <c r="L168" s="214"/>
      <c r="M168" s="207">
        <v>530.95000000000005</v>
      </c>
      <c r="N168" s="186">
        <f t="shared" si="14"/>
        <v>4.6357615894041526E-3</v>
      </c>
      <c r="P168" s="207">
        <v>19189.05</v>
      </c>
      <c r="Q168" s="186">
        <f t="shared" si="15"/>
        <v>2.8049074495727355E-2</v>
      </c>
    </row>
    <row r="169" spans="3:17" x14ac:dyDescent="0.3">
      <c r="C169" s="214">
        <v>45095</v>
      </c>
      <c r="D169" s="207">
        <v>420.74</v>
      </c>
      <c r="E169" s="186">
        <f t="shared" si="11"/>
        <v>-1.8430384471817773E-2</v>
      </c>
      <c r="F169" s="214"/>
      <c r="G169" s="207">
        <v>1126.8399999999999</v>
      </c>
      <c r="H169" s="186">
        <f t="shared" si="12"/>
        <v>-1.8799578555070973E-2</v>
      </c>
      <c r="I169" s="214"/>
      <c r="J169" s="207">
        <v>1035.95</v>
      </c>
      <c r="K169" s="186">
        <f t="shared" si="13"/>
        <v>-3.1822429906542049E-2</v>
      </c>
      <c r="L169" s="214"/>
      <c r="M169" s="207">
        <v>528.5</v>
      </c>
      <c r="N169" s="186">
        <f t="shared" si="14"/>
        <v>-3.5847851865365321E-2</v>
      </c>
      <c r="P169" s="207">
        <v>18665.5</v>
      </c>
      <c r="Q169" s="186">
        <f t="shared" si="15"/>
        <v>-8.5254435355359703E-3</v>
      </c>
    </row>
    <row r="170" spans="3:17" x14ac:dyDescent="0.3">
      <c r="C170" s="214">
        <v>45088</v>
      </c>
      <c r="D170" s="207">
        <v>428.64</v>
      </c>
      <c r="E170" s="186">
        <f t="shared" si="11"/>
        <v>3.3415304498770393E-2</v>
      </c>
      <c r="F170" s="214"/>
      <c r="G170" s="207">
        <v>1148.43</v>
      </c>
      <c r="H170" s="186">
        <f t="shared" si="12"/>
        <v>4.055560085895249E-2</v>
      </c>
      <c r="I170" s="214"/>
      <c r="J170" s="207">
        <v>1070</v>
      </c>
      <c r="K170" s="186">
        <f t="shared" si="13"/>
        <v>3.3466943545660932E-2</v>
      </c>
      <c r="L170" s="214"/>
      <c r="M170" s="207">
        <v>548.15</v>
      </c>
      <c r="N170" s="186">
        <f t="shared" si="14"/>
        <v>2.8038259564891144E-2</v>
      </c>
      <c r="P170" s="207">
        <v>18826</v>
      </c>
      <c r="Q170" s="186">
        <f t="shared" si="15"/>
        <v>1.4146115474535925E-2</v>
      </c>
    </row>
    <row r="171" spans="3:17" x14ac:dyDescent="0.3">
      <c r="C171" s="214">
        <v>45081</v>
      </c>
      <c r="D171" s="207">
        <v>414.78</v>
      </c>
      <c r="E171" s="186">
        <f t="shared" si="11"/>
        <v>-1.1157202117007547E-2</v>
      </c>
      <c r="F171" s="214"/>
      <c r="G171" s="207">
        <v>1103.67</v>
      </c>
      <c r="H171" s="186">
        <f t="shared" si="12"/>
        <v>1.2246897452645733E-3</v>
      </c>
      <c r="I171" s="214"/>
      <c r="J171" s="207">
        <v>1035.3499999999999</v>
      </c>
      <c r="K171" s="186">
        <f t="shared" si="13"/>
        <v>-2.4129318063999428E-2</v>
      </c>
      <c r="L171" s="214"/>
      <c r="M171" s="207">
        <v>533.20000000000005</v>
      </c>
      <c r="N171" s="186">
        <f t="shared" si="14"/>
        <v>-2.9575029575029554E-2</v>
      </c>
      <c r="P171" s="207">
        <v>18563.400000000001</v>
      </c>
      <c r="Q171" s="186">
        <f t="shared" si="15"/>
        <v>1.5808698561032841E-3</v>
      </c>
    </row>
    <row r="172" spans="3:17" x14ac:dyDescent="0.3">
      <c r="C172" s="214">
        <v>45074</v>
      </c>
      <c r="D172" s="207">
        <v>419.46</v>
      </c>
      <c r="E172" s="186">
        <f t="shared" si="11"/>
        <v>5.7063393114031857E-3</v>
      </c>
      <c r="F172" s="214"/>
      <c r="G172" s="207">
        <v>1102.32</v>
      </c>
      <c r="H172" s="186">
        <f t="shared" si="12"/>
        <v>2.152739808542381E-2</v>
      </c>
      <c r="I172" s="214"/>
      <c r="J172" s="207">
        <v>1060.95</v>
      </c>
      <c r="K172" s="186">
        <f t="shared" si="13"/>
        <v>1.0476689366160308E-2</v>
      </c>
      <c r="L172" s="214"/>
      <c r="M172" s="207">
        <v>549.45000000000005</v>
      </c>
      <c r="N172" s="186">
        <f t="shared" si="14"/>
        <v>9.832751332475631E-3</v>
      </c>
      <c r="P172" s="207">
        <v>18534.099999999999</v>
      </c>
      <c r="Q172" s="186">
        <f t="shared" si="15"/>
        <v>1.8784443777755122E-3</v>
      </c>
    </row>
    <row r="173" spans="3:17" x14ac:dyDescent="0.3">
      <c r="C173" s="214">
        <v>45067</v>
      </c>
      <c r="D173" s="207">
        <v>417.08</v>
      </c>
      <c r="E173" s="186">
        <f t="shared" si="11"/>
        <v>5.6567447751741495E-2</v>
      </c>
      <c r="F173" s="214"/>
      <c r="G173" s="207">
        <v>1079.0899999999999</v>
      </c>
      <c r="H173" s="186">
        <f t="shared" si="12"/>
        <v>-4.9976487077113552E-3</v>
      </c>
      <c r="I173" s="214"/>
      <c r="J173" s="207">
        <v>1049.95</v>
      </c>
      <c r="K173" s="186">
        <f t="shared" si="13"/>
        <v>3.9811834612527797E-2</v>
      </c>
      <c r="L173" s="214"/>
      <c r="M173" s="207">
        <v>544.1</v>
      </c>
      <c r="N173" s="186">
        <f t="shared" si="14"/>
        <v>3.4902520209225019E-2</v>
      </c>
      <c r="P173" s="207">
        <v>18499.349999999999</v>
      </c>
      <c r="Q173" s="186">
        <f t="shared" si="15"/>
        <v>1.6257951811200044E-2</v>
      </c>
    </row>
    <row r="174" spans="3:17" x14ac:dyDescent="0.3">
      <c r="C174" s="214">
        <v>45060</v>
      </c>
      <c r="D174" s="207">
        <v>394.75</v>
      </c>
      <c r="E174" s="186">
        <f t="shared" si="11"/>
        <v>-1.4418698775675587E-3</v>
      </c>
      <c r="F174" s="214"/>
      <c r="G174" s="207">
        <v>1084.51</v>
      </c>
      <c r="H174" s="186">
        <f t="shared" si="12"/>
        <v>-4.7719117930459243E-3</v>
      </c>
      <c r="I174" s="214"/>
      <c r="J174" s="207">
        <v>1009.75</v>
      </c>
      <c r="K174" s="186">
        <f t="shared" si="13"/>
        <v>1.0558446757405804E-2</v>
      </c>
      <c r="L174" s="214"/>
      <c r="M174" s="207">
        <v>525.75</v>
      </c>
      <c r="N174" s="186">
        <f t="shared" si="14"/>
        <v>-2.9085872576177341E-2</v>
      </c>
      <c r="P174" s="207">
        <v>18203.400000000001</v>
      </c>
      <c r="Q174" s="186">
        <f t="shared" si="15"/>
        <v>-6.0825125035489647E-3</v>
      </c>
    </row>
    <row r="175" spans="3:17" x14ac:dyDescent="0.3">
      <c r="C175" s="214">
        <v>45053</v>
      </c>
      <c r="D175" s="207">
        <v>395.32</v>
      </c>
      <c r="E175" s="186">
        <f t="shared" si="11"/>
        <v>-1.9349077197856723E-2</v>
      </c>
      <c r="F175" s="214"/>
      <c r="G175" s="207">
        <v>1089.71</v>
      </c>
      <c r="H175" s="186">
        <f t="shared" si="12"/>
        <v>-1.0245324662349287E-2</v>
      </c>
      <c r="I175" s="214"/>
      <c r="J175" s="207">
        <v>999.2</v>
      </c>
      <c r="K175" s="186">
        <f t="shared" si="13"/>
        <v>6.6780547696578374E-2</v>
      </c>
      <c r="L175" s="214"/>
      <c r="M175" s="207">
        <v>541.5</v>
      </c>
      <c r="N175" s="186">
        <f t="shared" si="14"/>
        <v>9.7042139384116544E-2</v>
      </c>
      <c r="P175" s="207">
        <v>18314.8</v>
      </c>
      <c r="Q175" s="186">
        <f t="shared" si="15"/>
        <v>1.3603409153799317E-2</v>
      </c>
    </row>
    <row r="176" spans="3:17" x14ac:dyDescent="0.3">
      <c r="C176" s="214">
        <v>45046</v>
      </c>
      <c r="D176" s="207">
        <v>403.12</v>
      </c>
      <c r="E176" s="186">
        <f t="shared" si="11"/>
        <v>7.522931193921556E-3</v>
      </c>
      <c r="F176" s="214"/>
      <c r="G176" s="207">
        <v>1100.99</v>
      </c>
      <c r="H176" s="186">
        <f t="shared" si="12"/>
        <v>1.1874236032608287E-2</v>
      </c>
      <c r="I176" s="214"/>
      <c r="J176" s="207">
        <v>936.65</v>
      </c>
      <c r="K176" s="186">
        <f t="shared" si="13"/>
        <v>3.2121212121211995E-2</v>
      </c>
      <c r="L176" s="214"/>
      <c r="M176" s="207">
        <v>493.6</v>
      </c>
      <c r="N176" s="186">
        <f t="shared" si="14"/>
        <v>-5.6406124093472121E-3</v>
      </c>
      <c r="P176" s="207">
        <v>18069</v>
      </c>
      <c r="Q176" s="186">
        <f t="shared" si="15"/>
        <v>2.2142264046509652E-4</v>
      </c>
    </row>
    <row r="177" spans="3:17" x14ac:dyDescent="0.3">
      <c r="C177" s="214">
        <v>45039</v>
      </c>
      <c r="D177" s="207">
        <v>400.11</v>
      </c>
      <c r="E177" s="186">
        <f t="shared" si="11"/>
        <v>4.2360296991012181E-2</v>
      </c>
      <c r="F177" s="214"/>
      <c r="G177" s="207">
        <v>1088.07</v>
      </c>
      <c r="H177" s="186">
        <f t="shared" si="12"/>
        <v>6.1697435697279701E-2</v>
      </c>
      <c r="I177" s="214"/>
      <c r="J177" s="207">
        <v>907.5</v>
      </c>
      <c r="K177" s="186">
        <f t="shared" si="13"/>
        <v>-8.0686825710378329E-2</v>
      </c>
      <c r="L177" s="214"/>
      <c r="M177" s="207">
        <v>496.4</v>
      </c>
      <c r="N177" s="186">
        <f t="shared" si="14"/>
        <v>4.8917062863180094E-2</v>
      </c>
      <c r="P177" s="207">
        <v>18065</v>
      </c>
      <c r="Q177" s="186">
        <f t="shared" si="15"/>
        <v>2.5019788300645995E-2</v>
      </c>
    </row>
    <row r="178" spans="3:17" x14ac:dyDescent="0.3">
      <c r="C178" s="214">
        <v>45032</v>
      </c>
      <c r="D178" s="207">
        <v>383.85</v>
      </c>
      <c r="E178" s="186">
        <f t="shared" si="11"/>
        <v>3.1993547519828081E-2</v>
      </c>
      <c r="F178" s="214"/>
      <c r="G178" s="207">
        <v>1024.8399999999999</v>
      </c>
      <c r="H178" s="186">
        <f t="shared" si="12"/>
        <v>5.2986324452618527E-2</v>
      </c>
      <c r="I178" s="214"/>
      <c r="J178" s="207">
        <v>987.15</v>
      </c>
      <c r="K178" s="186">
        <f t="shared" si="13"/>
        <v>2.486503322259126E-2</v>
      </c>
      <c r="L178" s="214"/>
      <c r="M178" s="207">
        <v>473.25</v>
      </c>
      <c r="N178" s="186">
        <f t="shared" si="14"/>
        <v>-7.4454697986577889E-3</v>
      </c>
      <c r="P178" s="207">
        <v>17624.05</v>
      </c>
      <c r="Q178" s="186">
        <f t="shared" si="15"/>
        <v>-1.143986986762402E-2</v>
      </c>
    </row>
    <row r="179" spans="3:17" x14ac:dyDescent="0.3">
      <c r="C179" s="214">
        <v>45025</v>
      </c>
      <c r="D179" s="207">
        <v>371.95</v>
      </c>
      <c r="E179" s="186">
        <f t="shared" si="11"/>
        <v>2.1307559241055429E-2</v>
      </c>
      <c r="F179" s="214"/>
      <c r="G179">
        <v>973.27</v>
      </c>
      <c r="H179" s="186">
        <f t="shared" si="12"/>
        <v>-1.2319745080727751E-2</v>
      </c>
      <c r="I179" s="214"/>
      <c r="J179" s="207">
        <v>963.2</v>
      </c>
      <c r="K179" s="186">
        <f t="shared" si="13"/>
        <v>-4.5987702165037891E-3</v>
      </c>
      <c r="L179" s="214"/>
      <c r="M179" s="207">
        <v>476.8</v>
      </c>
      <c r="N179" s="186">
        <f t="shared" si="14"/>
        <v>-5.2159399123722361E-3</v>
      </c>
      <c r="P179" s="207">
        <v>17828</v>
      </c>
      <c r="Q179" s="186">
        <f t="shared" si="15"/>
        <v>1.3003468917532901E-2</v>
      </c>
    </row>
    <row r="180" spans="3:17" x14ac:dyDescent="0.3">
      <c r="C180" s="214">
        <v>45018</v>
      </c>
      <c r="D180" s="207">
        <v>364.19</v>
      </c>
      <c r="E180" s="186">
        <f t="shared" si="11"/>
        <v>1.0011647900604714E-2</v>
      </c>
      <c r="F180" s="214"/>
      <c r="G180">
        <v>985.41</v>
      </c>
      <c r="H180" s="186">
        <f t="shared" si="12"/>
        <v>1.9285032784543965E-4</v>
      </c>
      <c r="I180" s="214"/>
      <c r="J180" s="207">
        <v>967.65</v>
      </c>
      <c r="K180" s="186">
        <f t="shared" si="13"/>
        <v>-5.1644889738156063E-4</v>
      </c>
      <c r="L180" s="214"/>
      <c r="M180" s="207">
        <v>479.3</v>
      </c>
      <c r="N180" s="186">
        <f t="shared" si="14"/>
        <v>-1.0421008753647154E-3</v>
      </c>
      <c r="P180" s="207">
        <v>17599.150000000001</v>
      </c>
      <c r="Q180" s="186">
        <f t="shared" si="15"/>
        <v>1.3790521176860304E-2</v>
      </c>
    </row>
    <row r="181" spans="3:17" x14ac:dyDescent="0.3">
      <c r="C181" s="214">
        <v>45011</v>
      </c>
      <c r="D181" s="207">
        <v>360.58</v>
      </c>
      <c r="E181" s="186">
        <f t="shared" si="11"/>
        <v>1.2694489692748334E-2</v>
      </c>
      <c r="F181" s="214"/>
      <c r="G181">
        <v>985.22</v>
      </c>
      <c r="H181" s="186">
        <f t="shared" si="12"/>
        <v>3.9634468058164396E-2</v>
      </c>
      <c r="I181" s="214"/>
      <c r="J181" s="207">
        <v>968.15</v>
      </c>
      <c r="K181" s="186">
        <f t="shared" si="13"/>
        <v>1.7819596299411211E-2</v>
      </c>
      <c r="L181" s="214"/>
      <c r="M181" s="207">
        <v>479.8</v>
      </c>
      <c r="N181" s="186">
        <f t="shared" si="14"/>
        <v>5.4484492875104262E-3</v>
      </c>
      <c r="P181" s="207">
        <v>17359.75</v>
      </c>
      <c r="Q181" s="186">
        <f t="shared" si="15"/>
        <v>2.4473223743807226E-2</v>
      </c>
    </row>
    <row r="182" spans="3:17" x14ac:dyDescent="0.3">
      <c r="C182" s="214">
        <v>45004</v>
      </c>
      <c r="D182" s="207">
        <v>356.06</v>
      </c>
      <c r="E182" s="186">
        <f t="shared" si="11"/>
        <v>8.3828943642028086E-3</v>
      </c>
      <c r="F182" s="214"/>
      <c r="G182">
        <v>947.66</v>
      </c>
      <c r="H182" s="186">
        <f t="shared" si="12"/>
        <v>5.037596377172715E-3</v>
      </c>
      <c r="I182" s="214"/>
      <c r="J182" s="207">
        <v>951.2</v>
      </c>
      <c r="K182" s="186">
        <f t="shared" si="13"/>
        <v>3.9579925062007693E-3</v>
      </c>
      <c r="L182" s="214"/>
      <c r="M182" s="207">
        <v>477.2</v>
      </c>
      <c r="N182" s="186">
        <f t="shared" si="14"/>
        <v>-1.8308989919769703E-2</v>
      </c>
      <c r="P182" s="207">
        <v>16945.05</v>
      </c>
      <c r="Q182" s="186">
        <f t="shared" si="15"/>
        <v>-9.0643009815760678E-3</v>
      </c>
    </row>
    <row r="183" spans="3:17" x14ac:dyDescent="0.3">
      <c r="C183" s="214">
        <v>44997</v>
      </c>
      <c r="D183" s="207">
        <v>353.1</v>
      </c>
      <c r="E183" s="186">
        <f t="shared" si="11"/>
        <v>-3.2098900797675411E-2</v>
      </c>
      <c r="F183" s="214"/>
      <c r="G183">
        <v>942.91</v>
      </c>
      <c r="H183" s="186">
        <f t="shared" si="12"/>
        <v>2.014519252615532E-2</v>
      </c>
      <c r="I183" s="214"/>
      <c r="J183" s="207">
        <v>947.45</v>
      </c>
      <c r="K183" s="186">
        <f t="shared" si="13"/>
        <v>3.3938997108091895E-2</v>
      </c>
      <c r="L183" s="214"/>
      <c r="M183" s="207">
        <v>486.1</v>
      </c>
      <c r="N183" s="186">
        <f t="shared" si="14"/>
        <v>-2.1143777688280352E-2</v>
      </c>
      <c r="P183" s="207">
        <v>17100.05</v>
      </c>
      <c r="Q183" s="186">
        <f t="shared" si="15"/>
        <v>-1.796656501788918E-2</v>
      </c>
    </row>
    <row r="184" spans="3:17" x14ac:dyDescent="0.3">
      <c r="C184" s="214">
        <v>44990</v>
      </c>
      <c r="D184" s="207">
        <v>364.81</v>
      </c>
      <c r="E184" s="186">
        <f t="shared" si="11"/>
        <v>7.929491075868933E-3</v>
      </c>
      <c r="F184" s="214"/>
      <c r="G184">
        <v>924.29</v>
      </c>
      <c r="H184" s="186">
        <f t="shared" si="12"/>
        <v>1.9512406638553248E-3</v>
      </c>
      <c r="I184" s="214"/>
      <c r="J184" s="207">
        <v>916.35</v>
      </c>
      <c r="K184" s="186">
        <f t="shared" si="13"/>
        <v>-1.0153929246556781E-2</v>
      </c>
      <c r="L184" s="214"/>
      <c r="M184" s="207">
        <v>496.6</v>
      </c>
      <c r="N184" s="186">
        <f t="shared" si="14"/>
        <v>-5.8058058058058082E-3</v>
      </c>
      <c r="P184" s="207">
        <v>17412.900000000001</v>
      </c>
      <c r="Q184" s="186">
        <f t="shared" si="15"/>
        <v>-1.0312969788596749E-2</v>
      </c>
    </row>
    <row r="185" spans="3:17" x14ac:dyDescent="0.3">
      <c r="C185" s="214">
        <v>44983</v>
      </c>
      <c r="D185" s="207">
        <v>361.94</v>
      </c>
      <c r="E185" s="186">
        <f t="shared" si="11"/>
        <v>-3.866548828987959E-4</v>
      </c>
      <c r="F185" s="214"/>
      <c r="G185">
        <v>922.49</v>
      </c>
      <c r="H185" s="186">
        <f t="shared" si="12"/>
        <v>-1.2365637445933775E-2</v>
      </c>
      <c r="I185" s="214"/>
      <c r="J185" s="207">
        <v>925.75</v>
      </c>
      <c r="K185" s="186">
        <f t="shared" si="13"/>
        <v>-2.2095279154989989E-3</v>
      </c>
      <c r="L185" s="214"/>
      <c r="M185" s="207">
        <v>499.5</v>
      </c>
      <c r="N185" s="186">
        <f t="shared" si="14"/>
        <v>1.4033680834002471E-3</v>
      </c>
      <c r="P185" s="207">
        <v>17594.349999999999</v>
      </c>
      <c r="Q185" s="186">
        <f t="shared" si="15"/>
        <v>7.360098020130712E-3</v>
      </c>
    </row>
    <row r="186" spans="3:17" x14ac:dyDescent="0.3">
      <c r="C186" s="214">
        <v>44976</v>
      </c>
      <c r="D186" s="207">
        <v>362.08</v>
      </c>
      <c r="E186" s="186">
        <f t="shared" si="11"/>
        <v>4.4385264092321464E-3</v>
      </c>
      <c r="F186" s="214"/>
      <c r="G186">
        <v>934.04</v>
      </c>
      <c r="H186" s="186">
        <f t="shared" si="12"/>
        <v>-1.7906147812463913E-2</v>
      </c>
      <c r="I186" s="214"/>
      <c r="J186" s="207">
        <v>927.8</v>
      </c>
      <c r="K186" s="186">
        <f t="shared" si="13"/>
        <v>-1.5178855747797537E-2</v>
      </c>
      <c r="L186" s="214"/>
      <c r="M186" s="207">
        <v>498.8</v>
      </c>
      <c r="N186" s="186">
        <f t="shared" si="14"/>
        <v>1.8998978549540357E-2</v>
      </c>
      <c r="P186" s="207">
        <v>17465.8</v>
      </c>
      <c r="Q186" s="186">
        <f t="shared" si="15"/>
        <v>-2.6660425095574092E-2</v>
      </c>
    </row>
    <row r="187" spans="3:17" x14ac:dyDescent="0.3">
      <c r="C187" s="214">
        <v>44969</v>
      </c>
      <c r="D187" s="207">
        <v>360.48</v>
      </c>
      <c r="E187" s="186">
        <f t="shared" si="11"/>
        <v>3.2450236288128487E-2</v>
      </c>
      <c r="F187" s="214"/>
      <c r="G187">
        <v>951.07</v>
      </c>
      <c r="H187" s="186">
        <f t="shared" si="12"/>
        <v>-1.2615776027924408E-4</v>
      </c>
      <c r="I187" s="214"/>
      <c r="J187" s="207">
        <v>942.1</v>
      </c>
      <c r="K187" s="186">
        <f t="shared" si="13"/>
        <v>1.8077413866439684E-3</v>
      </c>
      <c r="L187" s="214"/>
      <c r="M187" s="207">
        <v>489.5</v>
      </c>
      <c r="N187" s="186">
        <f t="shared" si="14"/>
        <v>-1.1410683631222773E-2</v>
      </c>
      <c r="P187" s="207">
        <v>17944.2</v>
      </c>
      <c r="Q187" s="186">
        <f t="shared" si="15"/>
        <v>4.9113768095652155E-3</v>
      </c>
    </row>
    <row r="188" spans="3:17" x14ac:dyDescent="0.3">
      <c r="C188" s="214">
        <v>44962</v>
      </c>
      <c r="D188" s="207">
        <v>349.15</v>
      </c>
      <c r="E188" s="186">
        <f t="shared" si="11"/>
        <v>-2.442091145323988E-2</v>
      </c>
      <c r="F188" s="214"/>
      <c r="G188">
        <v>951.19</v>
      </c>
      <c r="H188" s="186">
        <f t="shared" si="12"/>
        <v>1.0208162320304304E-3</v>
      </c>
      <c r="I188" s="214"/>
      <c r="J188" s="207">
        <v>940.4</v>
      </c>
      <c r="K188" s="186">
        <f t="shared" si="13"/>
        <v>5.775401069518793E-3</v>
      </c>
      <c r="L188" s="214"/>
      <c r="M188" s="207">
        <v>495.15</v>
      </c>
      <c r="N188" s="186">
        <f t="shared" si="14"/>
        <v>2.5308766956873008E-3</v>
      </c>
      <c r="P188" s="207">
        <v>17856.5</v>
      </c>
      <c r="Q188" s="186">
        <f t="shared" si="15"/>
        <v>1.372237671564136E-4</v>
      </c>
    </row>
    <row r="189" spans="3:17" x14ac:dyDescent="0.3">
      <c r="C189" s="214">
        <v>44955</v>
      </c>
      <c r="D189" s="207">
        <v>357.89</v>
      </c>
      <c r="E189" s="186">
        <f t="shared" si="11"/>
        <v>0.10011680806590428</v>
      </c>
      <c r="F189" s="214"/>
      <c r="G189">
        <v>950.22</v>
      </c>
      <c r="H189" s="186">
        <f t="shared" si="12"/>
        <v>-1.1032243292187993E-2</v>
      </c>
      <c r="I189" s="214"/>
      <c r="J189" s="207">
        <v>935</v>
      </c>
      <c r="K189" s="186">
        <f t="shared" si="13"/>
        <v>3.0757358615367547E-2</v>
      </c>
      <c r="L189" s="214"/>
      <c r="M189" s="207">
        <v>493.9</v>
      </c>
      <c r="N189" s="186">
        <f t="shared" si="14"/>
        <v>-1.9650655021834162E-2</v>
      </c>
      <c r="P189" s="207">
        <v>17854.05</v>
      </c>
      <c r="Q189" s="186">
        <f t="shared" si="15"/>
        <v>1.4183994296864233E-2</v>
      </c>
    </row>
    <row r="190" spans="3:17" x14ac:dyDescent="0.3">
      <c r="C190" s="214">
        <v>44948</v>
      </c>
      <c r="D190" s="207">
        <v>325.32</v>
      </c>
      <c r="E190" s="186">
        <f t="shared" si="11"/>
        <v>3.4075015893197724E-2</v>
      </c>
      <c r="F190" s="214"/>
      <c r="G190">
        <v>960.82</v>
      </c>
      <c r="H190" s="186">
        <f t="shared" si="12"/>
        <v>8.5416666666682239E-4</v>
      </c>
      <c r="I190" s="214"/>
      <c r="J190" s="207">
        <v>907.1</v>
      </c>
      <c r="K190" s="186">
        <f t="shared" si="13"/>
        <v>-2.7134277134277074E-2</v>
      </c>
      <c r="L190" s="214"/>
      <c r="M190" s="207">
        <v>503.8</v>
      </c>
      <c r="N190" s="186">
        <f t="shared" si="14"/>
        <v>-2.7711797307996555E-3</v>
      </c>
      <c r="P190" s="207">
        <v>17604.349999999999</v>
      </c>
      <c r="Q190" s="186">
        <f t="shared" si="15"/>
        <v>-2.3480597859399488E-2</v>
      </c>
    </row>
    <row r="191" spans="3:17" x14ac:dyDescent="0.3">
      <c r="C191" s="214">
        <v>44941</v>
      </c>
      <c r="D191" s="207">
        <v>314.60000000000002</v>
      </c>
      <c r="E191" s="186">
        <f t="shared" si="11"/>
        <v>1.7793594306049876E-2</v>
      </c>
      <c r="F191" s="214"/>
      <c r="G191">
        <v>960</v>
      </c>
      <c r="H191" s="186">
        <f t="shared" si="12"/>
        <v>-2.9538424213016334E-2</v>
      </c>
      <c r="I191" s="214"/>
      <c r="J191" s="207">
        <v>932.4</v>
      </c>
      <c r="K191" s="186">
        <f t="shared" si="13"/>
        <v>1.6572176188399457E-2</v>
      </c>
      <c r="L191" s="214"/>
      <c r="M191" s="207">
        <v>505.2</v>
      </c>
      <c r="N191" s="186">
        <f t="shared" si="14"/>
        <v>1.7420199375692169E-2</v>
      </c>
      <c r="P191" s="207">
        <v>18027.650000000001</v>
      </c>
      <c r="Q191" s="186">
        <f t="shared" si="15"/>
        <v>3.9567624160476988E-3</v>
      </c>
    </row>
    <row r="192" spans="3:17" x14ac:dyDescent="0.3">
      <c r="C192" s="214">
        <v>44934</v>
      </c>
      <c r="D192" s="207">
        <v>309.10000000000002</v>
      </c>
      <c r="E192" s="186">
        <f t="shared" si="11"/>
        <v>-1.8792457621738201E-2</v>
      </c>
      <c r="F192" s="214"/>
      <c r="G192">
        <v>989.22</v>
      </c>
      <c r="H192" s="186">
        <f t="shared" si="12"/>
        <v>-5.0690966145675587E-3</v>
      </c>
      <c r="I192" s="214"/>
      <c r="J192" s="207">
        <v>917.2</v>
      </c>
      <c r="K192" s="186">
        <f t="shared" si="13"/>
        <v>-2.7249441386456574E-4</v>
      </c>
      <c r="L192" s="214"/>
      <c r="M192" s="207">
        <v>496.55</v>
      </c>
      <c r="N192" s="186">
        <f t="shared" si="14"/>
        <v>-3.21606081278627E-2</v>
      </c>
      <c r="P192" s="207">
        <v>17956.599999999999</v>
      </c>
      <c r="Q192" s="186">
        <f t="shared" si="15"/>
        <v>5.4396971911228054E-3</v>
      </c>
    </row>
    <row r="193" spans="3:17" x14ac:dyDescent="0.3">
      <c r="C193" s="214">
        <v>44927</v>
      </c>
      <c r="D193" s="207">
        <v>315.02</v>
      </c>
      <c r="E193" s="186">
        <f t="shared" si="11"/>
        <v>1.0554005068488692E-2</v>
      </c>
      <c r="F193" s="214"/>
      <c r="G193">
        <v>994.26</v>
      </c>
      <c r="H193" s="186">
        <f t="shared" si="12"/>
        <v>1.4240538610629461E-2</v>
      </c>
      <c r="I193" s="214"/>
      <c r="J193" s="207">
        <v>917.45</v>
      </c>
      <c r="K193" s="186">
        <f t="shared" si="13"/>
        <v>4.9653909959384679E-2</v>
      </c>
      <c r="L193" s="214"/>
      <c r="M193" s="207">
        <v>513.04999999999995</v>
      </c>
      <c r="N193" s="186">
        <f t="shared" si="14"/>
        <v>6.2763557909186751E-3</v>
      </c>
      <c r="P193" s="207">
        <v>17859.45</v>
      </c>
      <c r="Q193" s="186">
        <f t="shared" si="15"/>
        <v>-1.3578896787128536E-2</v>
      </c>
    </row>
    <row r="194" spans="3:17" x14ac:dyDescent="0.3">
      <c r="C194" s="214">
        <v>44920</v>
      </c>
      <c r="D194" s="207">
        <v>311.73</v>
      </c>
      <c r="E194" s="186">
        <f t="shared" si="11"/>
        <v>1.4845199726535752E-2</v>
      </c>
      <c r="F194" s="214"/>
      <c r="G194">
        <v>980.3</v>
      </c>
      <c r="H194" s="186">
        <f t="shared" si="12"/>
        <v>-2.6166256059763193E-2</v>
      </c>
      <c r="I194" s="214"/>
      <c r="J194" s="207">
        <v>874.05</v>
      </c>
      <c r="K194" s="186">
        <f t="shared" si="13"/>
        <v>7.442179986261177E-4</v>
      </c>
      <c r="L194" s="214"/>
      <c r="M194" s="207">
        <v>509.85</v>
      </c>
      <c r="N194" s="186">
        <f t="shared" si="14"/>
        <v>-1.1056153622344911E-2</v>
      </c>
      <c r="P194" s="207">
        <v>18105.3</v>
      </c>
      <c r="Q194" s="186">
        <f t="shared" si="15"/>
        <v>1.6763258979715534E-2</v>
      </c>
    </row>
    <row r="195" spans="3:17" x14ac:dyDescent="0.3">
      <c r="C195" s="214">
        <v>44913</v>
      </c>
      <c r="D195" s="207">
        <v>307.17</v>
      </c>
      <c r="E195" s="186">
        <f t="shared" si="11"/>
        <v>-2.5073793125337196E-2</v>
      </c>
      <c r="F195" s="214"/>
      <c r="G195" s="207">
        <v>1006.64</v>
      </c>
      <c r="H195" s="186">
        <f t="shared" si="12"/>
        <v>1.9971021247707554E-2</v>
      </c>
      <c r="I195" s="214"/>
      <c r="J195" s="207">
        <v>873.4</v>
      </c>
      <c r="K195" s="186">
        <f t="shared" si="13"/>
        <v>-2.6092774308652977E-2</v>
      </c>
      <c r="L195" s="214"/>
      <c r="M195" s="207">
        <v>515.54999999999995</v>
      </c>
      <c r="N195" s="186">
        <f t="shared" si="14"/>
        <v>2.6254375729286572E-3</v>
      </c>
      <c r="P195" s="207">
        <v>17806.8</v>
      </c>
      <c r="Q195" s="186">
        <f t="shared" si="15"/>
        <v>-2.5299687996058973E-2</v>
      </c>
    </row>
    <row r="196" spans="3:17" x14ac:dyDescent="0.3">
      <c r="C196" s="214">
        <v>44906</v>
      </c>
      <c r="D196" s="207">
        <v>315.07</v>
      </c>
      <c r="E196" s="186">
        <f t="shared" si="11"/>
        <v>-1.8442942147730457E-2</v>
      </c>
      <c r="F196" s="214"/>
      <c r="G196">
        <v>986.93</v>
      </c>
      <c r="H196" s="186">
        <f t="shared" si="12"/>
        <v>-2.4859449258465283E-2</v>
      </c>
      <c r="I196" s="214"/>
      <c r="J196" s="207">
        <v>896.8</v>
      </c>
      <c r="K196" s="186">
        <f t="shared" si="13"/>
        <v>-2.9016890428757103E-2</v>
      </c>
      <c r="L196" s="214"/>
      <c r="M196" s="207">
        <v>514.20000000000005</v>
      </c>
      <c r="N196" s="186">
        <f t="shared" si="14"/>
        <v>-1.8233890214797044E-2</v>
      </c>
      <c r="P196" s="207">
        <v>18269</v>
      </c>
      <c r="Q196" s="186">
        <f t="shared" si="15"/>
        <v>-1.2304964155574472E-2</v>
      </c>
    </row>
    <row r="197" spans="3:17" x14ac:dyDescent="0.3">
      <c r="C197" s="214">
        <v>44899</v>
      </c>
      <c r="D197" s="207">
        <v>320.99</v>
      </c>
      <c r="E197" s="186">
        <f t="shared" si="11"/>
        <v>1.2618694596044033E-2</v>
      </c>
      <c r="F197" s="214"/>
      <c r="G197" s="207">
        <v>1012.09</v>
      </c>
      <c r="H197" s="186">
        <f t="shared" si="12"/>
        <v>2.4838997124225548E-2</v>
      </c>
      <c r="I197" s="214"/>
      <c r="J197" s="207">
        <v>923.6</v>
      </c>
      <c r="K197" s="186">
        <f t="shared" si="13"/>
        <v>4.758123972097783E-2</v>
      </c>
      <c r="L197" s="214"/>
      <c r="M197" s="207">
        <v>523.75</v>
      </c>
      <c r="N197" s="186">
        <f t="shared" si="14"/>
        <v>3.949588171082663E-2</v>
      </c>
      <c r="P197" s="207">
        <v>18496.599999999999</v>
      </c>
      <c r="Q197" s="186">
        <f t="shared" si="15"/>
        <v>-1.0670674632677457E-2</v>
      </c>
    </row>
    <row r="198" spans="3:17" x14ac:dyDescent="0.3">
      <c r="C198" s="214">
        <v>44892</v>
      </c>
      <c r="D198" s="207">
        <v>316.99</v>
      </c>
      <c r="E198" s="186">
        <f t="shared" ref="E198:E212" si="16">D198/D199-1</f>
        <v>-9.2824103012876247E-3</v>
      </c>
      <c r="F198" s="214"/>
      <c r="G198">
        <v>987.56</v>
      </c>
      <c r="H198" s="186">
        <f t="shared" ref="H198:H212" si="17">G198/G199-1</f>
        <v>1.1357235757370798E-2</v>
      </c>
      <c r="I198" s="214"/>
      <c r="J198" s="207">
        <v>881.65</v>
      </c>
      <c r="K198" s="186">
        <f t="shared" ref="K198:K212" si="18">J198/J199-1</f>
        <v>2.5949845813696415E-2</v>
      </c>
      <c r="L198" s="214"/>
      <c r="M198" s="207">
        <v>503.85</v>
      </c>
      <c r="N198" s="186">
        <f t="shared" ref="N198:N212" si="19">M198/M199-1</f>
        <v>3.6195372750642774E-2</v>
      </c>
      <c r="P198" s="207">
        <v>18696.099999999999</v>
      </c>
      <c r="Q198" s="186">
        <f t="shared" ref="Q198:Q212" si="20">P198/P199-1</f>
        <v>9.9039850913558158E-3</v>
      </c>
    </row>
    <row r="199" spans="3:17" x14ac:dyDescent="0.3">
      <c r="C199" s="214">
        <v>44885</v>
      </c>
      <c r="D199" s="207">
        <v>319.95999999999998</v>
      </c>
      <c r="E199" s="186">
        <f t="shared" si="16"/>
        <v>-2.1829975675171642E-3</v>
      </c>
      <c r="F199" s="214"/>
      <c r="G199">
        <v>976.47</v>
      </c>
      <c r="H199" s="186">
        <f t="shared" si="17"/>
        <v>-1.9864292453777077E-2</v>
      </c>
      <c r="I199" s="214"/>
      <c r="J199" s="207">
        <v>859.35</v>
      </c>
      <c r="K199" s="186">
        <f t="shared" si="18"/>
        <v>2.4377160567409684E-2</v>
      </c>
      <c r="L199" s="214"/>
      <c r="M199" s="207">
        <v>486.25</v>
      </c>
      <c r="N199" s="186">
        <f t="shared" si="19"/>
        <v>3.0857848179377534E-4</v>
      </c>
      <c r="P199" s="207">
        <v>18512.75</v>
      </c>
      <c r="Q199" s="186">
        <f t="shared" si="20"/>
        <v>1.1202967065680136E-2</v>
      </c>
    </row>
    <row r="200" spans="3:17" x14ac:dyDescent="0.3">
      <c r="C200" s="214">
        <v>44878</v>
      </c>
      <c r="D200" s="207">
        <v>320.66000000000003</v>
      </c>
      <c r="E200" s="186">
        <f t="shared" si="16"/>
        <v>-4.2948813609908876E-2</v>
      </c>
      <c r="F200" s="214"/>
      <c r="G200">
        <v>996.26</v>
      </c>
      <c r="H200" s="186">
        <f t="shared" si="17"/>
        <v>-1.9554584551189302E-2</v>
      </c>
      <c r="I200" s="214"/>
      <c r="J200" s="207">
        <v>838.9</v>
      </c>
      <c r="K200" s="186">
        <f t="shared" si="18"/>
        <v>2.4297924297924212E-2</v>
      </c>
      <c r="L200" s="214"/>
      <c r="M200" s="207">
        <v>486.1</v>
      </c>
      <c r="N200" s="186">
        <f t="shared" si="19"/>
        <v>-2.6144445557447549E-2</v>
      </c>
      <c r="P200" s="207">
        <v>18307.650000000001</v>
      </c>
      <c r="Q200" s="186">
        <f t="shared" si="20"/>
        <v>-2.2915905982113793E-3</v>
      </c>
    </row>
    <row r="201" spans="3:17" x14ac:dyDescent="0.3">
      <c r="C201" s="214">
        <v>44871</v>
      </c>
      <c r="D201" s="207">
        <v>335.05</v>
      </c>
      <c r="E201" s="186">
        <f t="shared" si="16"/>
        <v>7.7904108764965674E-3</v>
      </c>
      <c r="F201" s="214"/>
      <c r="G201" s="207">
        <v>1016.13</v>
      </c>
      <c r="H201" s="186">
        <f t="shared" si="17"/>
        <v>-5.0329491711300633E-3</v>
      </c>
      <c r="I201" s="214"/>
      <c r="J201" s="207">
        <v>819</v>
      </c>
      <c r="K201" s="186">
        <f t="shared" si="18"/>
        <v>-1.2241452089489235E-2</v>
      </c>
      <c r="L201" s="214"/>
      <c r="M201" s="207">
        <v>499.15</v>
      </c>
      <c r="N201" s="186">
        <f t="shared" si="19"/>
        <v>-7.4276706231454104E-2</v>
      </c>
      <c r="P201" s="207">
        <v>18349.7</v>
      </c>
      <c r="Q201" s="186">
        <f t="shared" si="20"/>
        <v>1.2835904101914375E-2</v>
      </c>
    </row>
    <row r="202" spans="3:17" x14ac:dyDescent="0.3">
      <c r="C202" s="214">
        <v>44864</v>
      </c>
      <c r="D202" s="207">
        <v>332.46</v>
      </c>
      <c r="E202" s="186">
        <f t="shared" si="16"/>
        <v>2.2544828222557101E-2</v>
      </c>
      <c r="F202" s="214"/>
      <c r="G202" s="207">
        <v>1021.27</v>
      </c>
      <c r="H202" s="186">
        <f t="shared" si="17"/>
        <v>7.0504476787756065E-3</v>
      </c>
      <c r="I202" s="214"/>
      <c r="J202" s="207">
        <v>829.15</v>
      </c>
      <c r="K202" s="186">
        <f t="shared" si="18"/>
        <v>-8.4352593842262902E-4</v>
      </c>
      <c r="L202" s="214"/>
      <c r="M202" s="207">
        <v>539.20000000000005</v>
      </c>
      <c r="N202" s="186">
        <f t="shared" si="19"/>
        <v>3.902110029868E-2</v>
      </c>
      <c r="P202" s="207">
        <v>18117.150000000001</v>
      </c>
      <c r="Q202" s="186">
        <f t="shared" si="20"/>
        <v>1.8572761823374861E-2</v>
      </c>
    </row>
    <row r="203" spans="3:17" x14ac:dyDescent="0.3">
      <c r="C203" s="214">
        <v>44857</v>
      </c>
      <c r="D203" s="207">
        <v>325.13</v>
      </c>
      <c r="E203" s="186">
        <f t="shared" si="16"/>
        <v>5.8472333353853934E-4</v>
      </c>
      <c r="F203" s="214"/>
      <c r="G203" s="207">
        <v>1014.12</v>
      </c>
      <c r="H203" s="186">
        <f t="shared" si="17"/>
        <v>-6.2084257206207472E-4</v>
      </c>
      <c r="I203" s="214"/>
      <c r="J203" s="207">
        <v>829.85</v>
      </c>
      <c r="K203" s="186">
        <f t="shared" si="18"/>
        <v>1.1703748857055718E-2</v>
      </c>
      <c r="L203" s="214"/>
      <c r="M203" s="207">
        <v>518.95000000000005</v>
      </c>
      <c r="N203" s="186">
        <f t="shared" si="19"/>
        <v>-3.8524511220250357E-4</v>
      </c>
      <c r="P203" s="207">
        <v>17786.8</v>
      </c>
      <c r="Q203" s="186">
        <f t="shared" si="20"/>
        <v>1.1976354522851729E-2</v>
      </c>
    </row>
    <row r="204" spans="3:17" x14ac:dyDescent="0.3">
      <c r="C204" s="214">
        <v>44850</v>
      </c>
      <c r="D204" s="207">
        <v>324.94</v>
      </c>
      <c r="E204" s="186">
        <f t="shared" si="16"/>
        <v>4.0640512409927831E-2</v>
      </c>
      <c r="F204" s="214"/>
      <c r="G204" s="207">
        <v>1014.75</v>
      </c>
      <c r="H204" s="186">
        <f t="shared" si="17"/>
        <v>7.2221048182586678E-2</v>
      </c>
      <c r="I204" s="214"/>
      <c r="J204" s="207">
        <v>820.25</v>
      </c>
      <c r="K204" s="186">
        <f t="shared" si="18"/>
        <v>-1.5778737700983925E-2</v>
      </c>
      <c r="L204" s="214"/>
      <c r="M204" s="207">
        <v>519.15</v>
      </c>
      <c r="N204" s="186">
        <f t="shared" si="19"/>
        <v>1.4956011730205221E-2</v>
      </c>
      <c r="P204" s="207">
        <v>17576.3</v>
      </c>
      <c r="Q204" s="186">
        <f t="shared" si="20"/>
        <v>2.2728198444055048E-2</v>
      </c>
    </row>
    <row r="205" spans="3:17" x14ac:dyDescent="0.3">
      <c r="C205" s="214">
        <v>44843</v>
      </c>
      <c r="D205" s="207">
        <v>312.25</v>
      </c>
      <c r="E205" s="186">
        <f t="shared" si="16"/>
        <v>-5.9847833699423481E-3</v>
      </c>
      <c r="F205" s="214"/>
      <c r="G205">
        <v>946.4</v>
      </c>
      <c r="H205" s="186">
        <f t="shared" si="17"/>
        <v>-2.0340562082707958E-2</v>
      </c>
      <c r="I205" s="214"/>
      <c r="J205" s="207">
        <v>833.4</v>
      </c>
      <c r="K205" s="186">
        <f t="shared" si="18"/>
        <v>4.2778815448574203E-3</v>
      </c>
      <c r="L205" s="214"/>
      <c r="M205" s="207">
        <v>511.5</v>
      </c>
      <c r="N205" s="186">
        <f t="shared" si="19"/>
        <v>-1.8799155956263136E-2</v>
      </c>
      <c r="P205" s="207">
        <v>17185.7</v>
      </c>
      <c r="Q205" s="186">
        <f t="shared" si="20"/>
        <v>-7.4474505693156168E-3</v>
      </c>
    </row>
    <row r="206" spans="3:17" x14ac:dyDescent="0.3">
      <c r="C206" s="214">
        <v>44836</v>
      </c>
      <c r="D206" s="207">
        <v>314.13</v>
      </c>
      <c r="E206" s="186">
        <f t="shared" si="16"/>
        <v>5.7309342383300432E-3</v>
      </c>
      <c r="F206" s="214"/>
      <c r="G206">
        <v>966.05</v>
      </c>
      <c r="H206" s="186">
        <f t="shared" si="17"/>
        <v>9.2035435209560923E-3</v>
      </c>
      <c r="I206" s="214"/>
      <c r="J206" s="207">
        <v>829.85</v>
      </c>
      <c r="K206" s="186">
        <f t="shared" si="18"/>
        <v>-8.852765116151351E-2</v>
      </c>
      <c r="L206" s="214"/>
      <c r="M206" s="207">
        <v>521.29999999999995</v>
      </c>
      <c r="N206" s="186">
        <f t="shared" si="19"/>
        <v>-3.0770660964953178E-2</v>
      </c>
      <c r="P206" s="207">
        <v>17314.650000000001</v>
      </c>
      <c r="Q206" s="186">
        <f t="shared" si="20"/>
        <v>1.2887299019851861E-2</v>
      </c>
    </row>
    <row r="207" spans="3:17" x14ac:dyDescent="0.3">
      <c r="C207" s="214">
        <v>44829</v>
      </c>
      <c r="D207" s="207">
        <v>312.33999999999997</v>
      </c>
      <c r="E207" s="186">
        <f t="shared" si="16"/>
        <v>-4.0989898369615307E-2</v>
      </c>
      <c r="F207" s="214"/>
      <c r="G207">
        <v>957.24</v>
      </c>
      <c r="H207" s="186">
        <f t="shared" si="17"/>
        <v>3.5089047243157978E-2</v>
      </c>
      <c r="I207" s="214"/>
      <c r="J207" s="207">
        <v>910.45</v>
      </c>
      <c r="K207" s="186">
        <f t="shared" si="18"/>
        <v>2.246055365264743E-2</v>
      </c>
      <c r="L207" s="214"/>
      <c r="M207" s="207">
        <v>537.85</v>
      </c>
      <c r="N207" s="186">
        <f t="shared" si="19"/>
        <v>-9.3931301224791097E-3</v>
      </c>
      <c r="P207" s="207">
        <v>17094.349999999999</v>
      </c>
      <c r="Q207" s="186">
        <f t="shared" si="20"/>
        <v>-1.3446949475828696E-2</v>
      </c>
    </row>
    <row r="208" spans="3:17" x14ac:dyDescent="0.3">
      <c r="C208" s="214">
        <v>44822</v>
      </c>
      <c r="D208" s="207">
        <v>325.69</v>
      </c>
      <c r="E208" s="186">
        <f t="shared" si="16"/>
        <v>4.5587338277312206E-2</v>
      </c>
      <c r="F208" s="214"/>
      <c r="G208">
        <v>924.79</v>
      </c>
      <c r="H208" s="186">
        <f t="shared" si="17"/>
        <v>4.9771247867334001E-3</v>
      </c>
      <c r="I208" s="214"/>
      <c r="J208" s="207">
        <v>890.45</v>
      </c>
      <c r="K208" s="186">
        <f t="shared" si="18"/>
        <v>3.3702185025008546E-4</v>
      </c>
      <c r="L208" s="214"/>
      <c r="M208" s="207">
        <v>542.95000000000005</v>
      </c>
      <c r="N208" s="186">
        <f t="shared" si="19"/>
        <v>6.7433402142927479E-2</v>
      </c>
      <c r="P208" s="207">
        <v>17327.349999999999</v>
      </c>
      <c r="Q208" s="186">
        <f t="shared" si="20"/>
        <v>-1.1608107992481798E-2</v>
      </c>
    </row>
    <row r="209" spans="3:17" x14ac:dyDescent="0.3">
      <c r="C209" s="214">
        <v>44815</v>
      </c>
      <c r="D209" s="207">
        <v>311.49</v>
      </c>
      <c r="E209" s="186">
        <f t="shared" si="16"/>
        <v>2.4135933577911217E-3</v>
      </c>
      <c r="F209" s="214"/>
      <c r="G209">
        <v>920.21</v>
      </c>
      <c r="H209" s="186">
        <f t="shared" si="17"/>
        <v>-3.3961115310321532E-2</v>
      </c>
      <c r="I209" s="214"/>
      <c r="J209" s="207">
        <v>890.15</v>
      </c>
      <c r="K209" s="186">
        <f t="shared" si="18"/>
        <v>-5.1012793176972271E-2</v>
      </c>
      <c r="L209" s="214"/>
      <c r="M209" s="207">
        <v>508.65</v>
      </c>
      <c r="N209" s="186">
        <f t="shared" si="19"/>
        <v>-2.5014376078206002E-2</v>
      </c>
      <c r="P209" s="207">
        <v>17530.849999999999</v>
      </c>
      <c r="Q209" s="186">
        <f t="shared" si="20"/>
        <v>-1.6962600969531838E-2</v>
      </c>
    </row>
    <row r="210" spans="3:17" x14ac:dyDescent="0.3">
      <c r="C210" s="214">
        <v>44808</v>
      </c>
      <c r="D210" s="207">
        <v>310.74</v>
      </c>
      <c r="E210" s="186">
        <f t="shared" si="16"/>
        <v>2.2742981272422247E-2</v>
      </c>
      <c r="F210" s="214"/>
      <c r="G210">
        <v>952.56</v>
      </c>
      <c r="H210" s="186">
        <f t="shared" si="17"/>
        <v>-2.6101892463883725E-2</v>
      </c>
      <c r="I210" s="214"/>
      <c r="J210" s="207">
        <v>938</v>
      </c>
      <c r="K210" s="186">
        <f t="shared" si="18"/>
        <v>2.4408889859662608E-2</v>
      </c>
      <c r="L210" s="214"/>
      <c r="M210" s="207">
        <v>521.70000000000005</v>
      </c>
      <c r="N210" s="186">
        <f t="shared" si="19"/>
        <v>-3.5335689045934426E-3</v>
      </c>
      <c r="P210" s="207">
        <v>17833.349999999999</v>
      </c>
      <c r="Q210" s="186">
        <f t="shared" si="20"/>
        <v>1.6756511749228098E-2</v>
      </c>
    </row>
    <row r="211" spans="3:17" x14ac:dyDescent="0.3">
      <c r="C211" s="214">
        <v>44801</v>
      </c>
      <c r="D211" s="207">
        <v>303.83</v>
      </c>
      <c r="E211" s="186">
        <f t="shared" si="16"/>
        <v>3.273283480625433E-2</v>
      </c>
      <c r="F211" s="214"/>
      <c r="G211">
        <v>978.09</v>
      </c>
      <c r="H211" s="186">
        <f t="shared" si="17"/>
        <v>1.7205886871294318E-3</v>
      </c>
      <c r="I211" s="214"/>
      <c r="J211" s="207">
        <v>915.65</v>
      </c>
      <c r="K211" s="186">
        <f t="shared" si="18"/>
        <v>1.9881933615504499E-2</v>
      </c>
      <c r="L211" s="214"/>
      <c r="M211" s="207">
        <v>523.54999999999995</v>
      </c>
      <c r="N211" s="186">
        <f t="shared" si="19"/>
        <v>1.5418929402637671E-2</v>
      </c>
      <c r="P211" s="207">
        <v>17539.45</v>
      </c>
      <c r="Q211" s="186">
        <f t="shared" si="20"/>
        <v>-1.1077003684741848E-3</v>
      </c>
    </row>
    <row r="212" spans="3:17" x14ac:dyDescent="0.3">
      <c r="C212" s="214">
        <v>44794</v>
      </c>
      <c r="D212" s="207">
        <v>294.2</v>
      </c>
      <c r="E212" s="186">
        <f t="shared" si="16"/>
        <v>2.8975626384863951E-3</v>
      </c>
      <c r="F212" s="214"/>
      <c r="G212">
        <v>976.41</v>
      </c>
      <c r="H212" s="186">
        <f t="shared" si="17"/>
        <v>4.4956997654417297E-3</v>
      </c>
      <c r="I212" s="214"/>
      <c r="J212" s="207">
        <v>897.8</v>
      </c>
      <c r="K212" s="186">
        <f t="shared" si="18"/>
        <v>-8.9413842587482417E-3</v>
      </c>
      <c r="L212" s="214"/>
      <c r="M212">
        <v>515.6</v>
      </c>
      <c r="N212" s="186">
        <f t="shared" si="19"/>
        <v>-6.7836030623125154E-4</v>
      </c>
      <c r="P212" s="207">
        <v>17558.900000000001</v>
      </c>
      <c r="Q212" s="186">
        <f t="shared" si="20"/>
        <v>-1.1236904121699753E-2</v>
      </c>
    </row>
    <row r="213" spans="3:17" x14ac:dyDescent="0.3">
      <c r="C213" s="214">
        <v>44787</v>
      </c>
      <c r="D213">
        <v>293.35000000000002</v>
      </c>
      <c r="E213" s="186" t="s">
        <v>579</v>
      </c>
      <c r="F213" s="214"/>
      <c r="G213">
        <v>972.04</v>
      </c>
      <c r="H213" s="186" t="s">
        <v>579</v>
      </c>
      <c r="I213" s="214"/>
      <c r="J213">
        <v>905.9</v>
      </c>
      <c r="K213" s="186" t="s">
        <v>579</v>
      </c>
      <c r="L213" s="207"/>
      <c r="M213">
        <v>515.95000000000005</v>
      </c>
      <c r="N213" s="186" t="s">
        <v>579</v>
      </c>
      <c r="P213" s="207">
        <v>17758.45</v>
      </c>
      <c r="Q213" s="186" t="s">
        <v>579</v>
      </c>
    </row>
  </sheetData>
  <mergeCells count="1">
    <mergeCell ref="T14:Y14"/>
  </mergeCells>
  <pageMargins left="0.7" right="0.7" top="0.75" bottom="0.75" header="0.3" footer="0.3"/>
  <ignoredErrors>
    <ignoredError sqref="U17" evalError="1"/>
  </ignoredError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34DB-1007-46ED-BA25-96488D1B05A1}">
  <dimension ref="B2:D20"/>
  <sheetViews>
    <sheetView workbookViewId="0"/>
  </sheetViews>
  <sheetFormatPr defaultRowHeight="14.4" x14ac:dyDescent="0.3"/>
  <cols>
    <col min="1" max="1" width="41.88671875" customWidth="1"/>
    <col min="2" max="2" width="49.5546875" customWidth="1"/>
    <col min="3" max="3" width="17.109375" customWidth="1"/>
    <col min="4" max="4" width="11.44140625" customWidth="1"/>
    <col min="5" max="8" width="41.88671875" customWidth="1"/>
  </cols>
  <sheetData>
    <row r="2" spans="2:4" ht="16.8" x14ac:dyDescent="0.3">
      <c r="B2" s="309" t="s">
        <v>632</v>
      </c>
    </row>
    <row r="3" spans="2:4" x14ac:dyDescent="0.3">
      <c r="B3" s="310" t="s">
        <v>633</v>
      </c>
    </row>
    <row r="5" spans="2:4" x14ac:dyDescent="0.3">
      <c r="B5" s="317" t="s">
        <v>634</v>
      </c>
      <c r="C5" s="318"/>
      <c r="D5" s="318"/>
    </row>
    <row r="6" spans="2:4" x14ac:dyDescent="0.3">
      <c r="B6" s="311" t="s">
        <v>635</v>
      </c>
      <c r="C6" s="312">
        <v>4.4200000000000003E-2</v>
      </c>
    </row>
    <row r="7" spans="2:4" x14ac:dyDescent="0.3">
      <c r="B7" s="319" t="s">
        <v>636</v>
      </c>
      <c r="C7" s="320">
        <v>2.2000000000000001E-3</v>
      </c>
    </row>
    <row r="8" spans="2:4" x14ac:dyDescent="0.3">
      <c r="B8" s="313" t="s">
        <v>637</v>
      </c>
      <c r="C8" s="315">
        <f>C6-C7</f>
        <v>4.2000000000000003E-2</v>
      </c>
    </row>
    <row r="10" spans="2:4" x14ac:dyDescent="0.3">
      <c r="B10" s="317" t="s">
        <v>638</v>
      </c>
      <c r="C10" s="318"/>
      <c r="D10" s="318"/>
    </row>
    <row r="11" spans="2:4" x14ac:dyDescent="0.3">
      <c r="B11" s="311" t="s">
        <v>639</v>
      </c>
      <c r="C11" s="312">
        <v>7.3099999999999998E-2</v>
      </c>
    </row>
    <row r="12" spans="2:4" x14ac:dyDescent="0.3">
      <c r="B12" s="319" t="s">
        <v>640</v>
      </c>
      <c r="C12" s="321">
        <f>C8</f>
        <v>4.2000000000000003E-2</v>
      </c>
    </row>
    <row r="13" spans="2:4" x14ac:dyDescent="0.3">
      <c r="B13" s="313" t="s">
        <v>641</v>
      </c>
      <c r="C13" s="315">
        <f>C11-C12</f>
        <v>3.1099999999999996E-2</v>
      </c>
    </row>
    <row r="15" spans="2:4" x14ac:dyDescent="0.3">
      <c r="B15" s="317" t="s">
        <v>642</v>
      </c>
      <c r="C15" s="318"/>
      <c r="D15" s="318"/>
    </row>
    <row r="16" spans="2:4" x14ac:dyDescent="0.3">
      <c r="B16" s="311" t="s">
        <v>637</v>
      </c>
      <c r="C16" s="314">
        <f>C8</f>
        <v>4.2000000000000003E-2</v>
      </c>
    </row>
    <row r="17" spans="2:3" x14ac:dyDescent="0.3">
      <c r="B17" s="311" t="s">
        <v>643</v>
      </c>
      <c r="C17" s="314">
        <f>C13</f>
        <v>3.1099999999999996E-2</v>
      </c>
    </row>
    <row r="18" spans="2:3" x14ac:dyDescent="0.3">
      <c r="B18" s="322" t="s">
        <v>644</v>
      </c>
      <c r="C18" s="323">
        <f>C16+C17</f>
        <v>7.3099999999999998E-2</v>
      </c>
    </row>
    <row r="20" spans="2:3" x14ac:dyDescent="0.3">
      <c r="B20" s="310" t="s">
        <v>645</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EE986-8262-47A7-B85B-59D5D21D18AF}">
  <sheetPr>
    <tabColor rgb="FF808080"/>
  </sheetPr>
  <dimension ref="B1:K39"/>
  <sheetViews>
    <sheetView showGridLines="0" topLeftCell="A4" workbookViewId="0">
      <selection activeCell="K24" sqref="K24"/>
    </sheetView>
  </sheetViews>
  <sheetFormatPr defaultRowHeight="14.4" x14ac:dyDescent="0.3"/>
  <cols>
    <col min="1" max="1" width="2.44140625" customWidth="1"/>
    <col min="2" max="2" width="38.88671875" bestFit="1" customWidth="1"/>
    <col min="3" max="3" width="12.33203125" bestFit="1" customWidth="1"/>
    <col min="4" max="4" width="10.5546875" bestFit="1" customWidth="1"/>
    <col min="5" max="5" width="11.5546875" bestFit="1" customWidth="1"/>
    <col min="6" max="6" width="9.33203125" bestFit="1" customWidth="1"/>
    <col min="7" max="7" width="15.88671875" customWidth="1"/>
    <col min="8" max="8" width="12.6640625" customWidth="1"/>
    <col min="9" max="9" width="10.6640625" customWidth="1"/>
    <col min="10" max="10" width="13.33203125" customWidth="1"/>
    <col min="11" max="11" width="12.88671875" customWidth="1"/>
  </cols>
  <sheetData>
    <row r="1" spans="2:11" ht="15" thickBot="1" x14ac:dyDescent="0.35"/>
    <row r="2" spans="2:11" ht="15" thickBot="1" x14ac:dyDescent="0.35">
      <c r="B2" t="s">
        <v>81</v>
      </c>
      <c r="E2" s="160" t="s">
        <v>272</v>
      </c>
      <c r="F2" s="368" t="s">
        <v>527</v>
      </c>
      <c r="G2" s="369"/>
      <c r="H2" s="369"/>
      <c r="I2" s="369"/>
      <c r="J2" s="370"/>
    </row>
    <row r="3" spans="2:11" x14ac:dyDescent="0.3">
      <c r="B3" s="161" t="s">
        <v>528</v>
      </c>
      <c r="C3" s="161"/>
      <c r="D3" s="161"/>
    </row>
    <row r="5" spans="2:11" x14ac:dyDescent="0.3">
      <c r="B5" s="28" t="s">
        <v>529</v>
      </c>
      <c r="C5" s="29"/>
      <c r="D5" s="29"/>
      <c r="E5" s="29"/>
      <c r="F5" s="29"/>
      <c r="G5" s="29"/>
      <c r="H5" s="29"/>
      <c r="I5" s="29"/>
      <c r="J5" s="29"/>
    </row>
    <row r="6" spans="2:11" x14ac:dyDescent="0.3">
      <c r="G6" s="162" t="s">
        <v>530</v>
      </c>
      <c r="H6" s="162" t="s">
        <v>530</v>
      </c>
      <c r="I6" s="162" t="s">
        <v>531</v>
      </c>
      <c r="J6" s="162" t="s">
        <v>532</v>
      </c>
    </row>
    <row r="7" spans="2:11" ht="16.2" x14ac:dyDescent="0.3">
      <c r="B7" s="29" t="s">
        <v>533</v>
      </c>
      <c r="C7" s="163" t="s">
        <v>534</v>
      </c>
      <c r="D7" s="163" t="s">
        <v>535</v>
      </c>
      <c r="E7" s="163" t="s">
        <v>536</v>
      </c>
      <c r="F7" s="163" t="s">
        <v>537</v>
      </c>
      <c r="G7" s="163" t="s">
        <v>538</v>
      </c>
      <c r="H7" s="163" t="s">
        <v>539</v>
      </c>
      <c r="I7" s="163" t="s">
        <v>540</v>
      </c>
      <c r="J7" s="163" t="s">
        <v>541</v>
      </c>
    </row>
    <row r="8" spans="2:11" x14ac:dyDescent="0.3">
      <c r="B8" s="236" t="s">
        <v>111</v>
      </c>
      <c r="C8" s="237" t="s">
        <v>542</v>
      </c>
      <c r="D8" s="238">
        <f>'Data Sheet'!K59</f>
        <v>1478</v>
      </c>
      <c r="E8" s="238">
        <f>'Relative Valuation'!F7</f>
        <v>493603.96800000005</v>
      </c>
      <c r="F8" s="239">
        <v>0.3</v>
      </c>
      <c r="G8" s="164">
        <f>D8/E8</f>
        <v>2.9943033197010276E-3</v>
      </c>
      <c r="H8" s="164">
        <f>D8/(SUM(D8:E8))</f>
        <v>2.9853642336656458E-3</v>
      </c>
      <c r="I8" s="240">
        <f>Beta!J11</f>
        <v>0.58395428780730496</v>
      </c>
      <c r="J8" s="165">
        <f>I8/(1+(1-F8)*G8)</f>
        <v>0.5827328725250146</v>
      </c>
      <c r="K8" s="235"/>
    </row>
    <row r="9" spans="2:11" x14ac:dyDescent="0.3">
      <c r="B9" t="s">
        <v>112</v>
      </c>
      <c r="C9" s="162" t="s">
        <v>542</v>
      </c>
      <c r="D9" s="166">
        <v>2399</v>
      </c>
      <c r="E9" s="185">
        <f>'Relative Valuation'!F8</f>
        <v>352016.30249999999</v>
      </c>
      <c r="F9" s="167">
        <v>0.3</v>
      </c>
      <c r="G9" s="168">
        <f>D9/E9</f>
        <v>6.8150252785522626E-3</v>
      </c>
      <c r="H9" s="168">
        <f>D9/(SUM(D9:E9))</f>
        <v>6.7688950874236027E-3</v>
      </c>
      <c r="I9" s="169">
        <f>'Beta comps '!Y17</f>
        <v>0.66127751034653437</v>
      </c>
      <c r="J9" s="170">
        <f>I9/(1+(1-F9)*G9)</f>
        <v>0.65813785207745834</v>
      </c>
      <c r="K9" s="23"/>
    </row>
    <row r="10" spans="2:11" x14ac:dyDescent="0.3">
      <c r="B10" t="s">
        <v>142</v>
      </c>
      <c r="C10" s="162" t="s">
        <v>542</v>
      </c>
      <c r="D10" s="166">
        <v>7604</v>
      </c>
      <c r="E10" s="185">
        <f>'Relative Valuation'!F9</f>
        <v>291096.16800000001</v>
      </c>
      <c r="F10" s="167">
        <v>0.3</v>
      </c>
      <c r="G10" s="168">
        <f t="shared" ref="G10:G12" si="0">D10/E10</f>
        <v>2.6121951560695227E-2</v>
      </c>
      <c r="H10" s="168">
        <f>D10/(SUM(D10:E10))</f>
        <v>2.5456965929794857E-2</v>
      </c>
      <c r="I10" s="169">
        <f>'Beta comps '!Y18</f>
        <v>0.72282426874028949</v>
      </c>
      <c r="J10" s="170">
        <f t="shared" ref="J10:J12" si="1">I10/(1+(1-F10)*G10)</f>
        <v>0.70984450214974248</v>
      </c>
      <c r="K10" s="23"/>
    </row>
    <row r="11" spans="2:11" x14ac:dyDescent="0.3">
      <c r="B11" t="s">
        <v>139</v>
      </c>
      <c r="C11" s="162" t="s">
        <v>542</v>
      </c>
      <c r="D11" s="166">
        <v>4421</v>
      </c>
      <c r="E11" s="185">
        <f>'Relative Valuation'!F10</f>
        <v>109534.03200000001</v>
      </c>
      <c r="F11" s="167">
        <v>0.3</v>
      </c>
      <c r="G11" s="168">
        <f t="shared" si="0"/>
        <v>4.0361884971056299E-2</v>
      </c>
      <c r="H11" s="168">
        <f t="shared" ref="H11:H12" si="2">D11/(SUM(D11:E11))</f>
        <v>3.8796005076809595E-2</v>
      </c>
      <c r="I11" s="169">
        <f>'Beta comps '!Y19</f>
        <v>0.81387997108036092</v>
      </c>
      <c r="J11" s="170">
        <f t="shared" si="1"/>
        <v>0.79151698872429221</v>
      </c>
      <c r="K11" s="23"/>
    </row>
    <row r="12" spans="2:11" x14ac:dyDescent="0.3">
      <c r="B12" t="s">
        <v>140</v>
      </c>
      <c r="C12" s="162" t="s">
        <v>542</v>
      </c>
      <c r="D12" s="166">
        <v>557</v>
      </c>
      <c r="E12" s="185">
        <f>'Relative Valuation'!F11</f>
        <v>113045.196</v>
      </c>
      <c r="F12" s="167">
        <v>0.3</v>
      </c>
      <c r="G12" s="168">
        <f t="shared" si="0"/>
        <v>4.927232821109886E-3</v>
      </c>
      <c r="H12" s="168">
        <f t="shared" si="2"/>
        <v>4.9030742328255699E-3</v>
      </c>
      <c r="I12" s="169">
        <f>'Beta comps '!Y20</f>
        <v>0.56872790050428068</v>
      </c>
      <c r="J12" s="170">
        <f t="shared" si="1"/>
        <v>0.56677306451237019</v>
      </c>
      <c r="K12" s="23"/>
    </row>
    <row r="14" spans="2:11" x14ac:dyDescent="0.3">
      <c r="E14" s="171" t="s">
        <v>130</v>
      </c>
      <c r="F14" s="172">
        <f>AVERAGE(F8:F12)</f>
        <v>0.3</v>
      </c>
      <c r="G14" s="172">
        <f>AVERAGE(G8:G12)</f>
        <v>1.6244079590222942E-2</v>
      </c>
      <c r="H14" s="172">
        <f>AVERAGE(H8:H12)</f>
        <v>1.5782060912103855E-2</v>
      </c>
      <c r="I14" s="173">
        <f>AVERAGE(I8:I12)</f>
        <v>0.67013278769575402</v>
      </c>
      <c r="J14" s="173">
        <f>AVERAGE(J8:J12)</f>
        <v>0.66180105599777561</v>
      </c>
    </row>
    <row r="15" spans="2:11" x14ac:dyDescent="0.3">
      <c r="E15" s="28" t="s">
        <v>131</v>
      </c>
      <c r="F15" s="174">
        <f>MEDIAN(F8:F12)</f>
        <v>0.3</v>
      </c>
      <c r="G15" s="174">
        <f>MEDIAN(G8:G12)</f>
        <v>6.8150252785522626E-3</v>
      </c>
      <c r="H15" s="174">
        <f>MEDIAN(H8:H12)</f>
        <v>6.7688950874236027E-3</v>
      </c>
      <c r="I15" s="175">
        <f>MEDIAN(I8:I12)</f>
        <v>0.66127751034653437</v>
      </c>
      <c r="J15" s="176">
        <f>MEDIAN(J8:J12)</f>
        <v>0.65813785207745834</v>
      </c>
      <c r="K15" s="2" t="s">
        <v>543</v>
      </c>
    </row>
    <row r="18" spans="2:11" x14ac:dyDescent="0.3">
      <c r="B18" s="28" t="s">
        <v>544</v>
      </c>
      <c r="C18" s="28"/>
      <c r="D18" s="28"/>
      <c r="E18" s="28"/>
      <c r="G18" s="28" t="s">
        <v>545</v>
      </c>
      <c r="H18" s="28"/>
      <c r="I18" s="28"/>
      <c r="J18" s="28"/>
      <c r="K18" s="28"/>
    </row>
    <row r="19" spans="2:11" x14ac:dyDescent="0.3">
      <c r="G19" t="s">
        <v>546</v>
      </c>
      <c r="J19" t="s">
        <v>81</v>
      </c>
      <c r="K19" s="177">
        <v>6.8000000000000005E-2</v>
      </c>
    </row>
    <row r="20" spans="2:11" x14ac:dyDescent="0.3">
      <c r="B20" t="s">
        <v>547</v>
      </c>
      <c r="E20" s="5">
        <f>'Data Sheet'!K27/'Data Sheet'!K59</f>
        <v>0.27740189445196212</v>
      </c>
      <c r="G20" t="s">
        <v>588</v>
      </c>
      <c r="K20" s="5">
        <v>1.7999999999999999E-2</v>
      </c>
    </row>
    <row r="21" spans="2:11" x14ac:dyDescent="0.3">
      <c r="B21" t="s">
        <v>549</v>
      </c>
      <c r="E21" s="179">
        <v>0.3</v>
      </c>
      <c r="G21" t="s">
        <v>548</v>
      </c>
      <c r="K21" s="178">
        <f>K19-K20</f>
        <v>0.05</v>
      </c>
    </row>
    <row r="22" spans="2:11" x14ac:dyDescent="0.3">
      <c r="B22" s="180" t="s">
        <v>551</v>
      </c>
      <c r="C22" s="180"/>
      <c r="D22" s="180"/>
      <c r="E22" s="181">
        <f>E20*(1-E21)</f>
        <v>0.19418132611637348</v>
      </c>
      <c r="G22" t="s">
        <v>550</v>
      </c>
      <c r="K22" s="316">
        <f>ERP!C18</f>
        <v>7.3099999999999998E-2</v>
      </c>
    </row>
    <row r="23" spans="2:11" ht="16.2" x14ac:dyDescent="0.3">
      <c r="G23" t="s">
        <v>552</v>
      </c>
      <c r="J23" s="182"/>
      <c r="K23" s="23">
        <f>K31</f>
        <v>0.66045290984858507</v>
      </c>
    </row>
    <row r="24" spans="2:11" x14ac:dyDescent="0.3">
      <c r="G24" s="180" t="s">
        <v>545</v>
      </c>
      <c r="H24" s="180"/>
      <c r="I24" s="180"/>
      <c r="K24" s="183">
        <f>K21+K22*K23</f>
        <v>9.8279107709931562E-2</v>
      </c>
    </row>
    <row r="25" spans="2:11" x14ac:dyDescent="0.3">
      <c r="E25" t="s">
        <v>81</v>
      </c>
    </row>
    <row r="26" spans="2:11" x14ac:dyDescent="0.3">
      <c r="B26" s="28" t="s">
        <v>553</v>
      </c>
      <c r="C26" s="28"/>
      <c r="D26" s="28"/>
      <c r="E26" s="28"/>
      <c r="G26" s="28" t="s">
        <v>554</v>
      </c>
      <c r="H26" s="28"/>
      <c r="I26" s="28"/>
      <c r="J26" s="28"/>
      <c r="K26" s="29"/>
    </row>
    <row r="28" spans="2:11" x14ac:dyDescent="0.3">
      <c r="D28" s="184" t="s">
        <v>555</v>
      </c>
      <c r="E28" s="184" t="s">
        <v>556</v>
      </c>
      <c r="G28" t="s">
        <v>557</v>
      </c>
      <c r="K28" s="23">
        <f>J15</f>
        <v>0.65813785207745834</v>
      </c>
    </row>
    <row r="29" spans="2:11" x14ac:dyDescent="0.3">
      <c r="B29" t="s">
        <v>558</v>
      </c>
      <c r="C29" s="185">
        <f>D8</f>
        <v>1478</v>
      </c>
      <c r="D29" s="186">
        <f>C29/$C$31</f>
        <v>2.9853642336656458E-3</v>
      </c>
      <c r="E29" s="234">
        <v>5.0000000000000001E-3</v>
      </c>
      <c r="G29" t="s">
        <v>559</v>
      </c>
      <c r="K29" s="5">
        <f>E33</f>
        <v>5.0251256281407036E-3</v>
      </c>
    </row>
    <row r="30" spans="2:11" x14ac:dyDescent="0.3">
      <c r="B30" t="s">
        <v>70</v>
      </c>
      <c r="C30" s="185">
        <f>E8</f>
        <v>493603.96800000005</v>
      </c>
      <c r="D30" s="186">
        <f t="shared" ref="D30" si="3">C30/$C$31</f>
        <v>0.99701463576633431</v>
      </c>
      <c r="E30" s="5">
        <f>E31-E29</f>
        <v>0.995</v>
      </c>
      <c r="G30" t="s">
        <v>549</v>
      </c>
      <c r="K30" s="5">
        <f>E21</f>
        <v>0.3</v>
      </c>
    </row>
    <row r="31" spans="2:11" x14ac:dyDescent="0.3">
      <c r="B31" s="180" t="s">
        <v>560</v>
      </c>
      <c r="C31" s="187">
        <f>SUM(C29:C30)</f>
        <v>495081.96800000005</v>
      </c>
      <c r="D31" s="188">
        <f>SUM(D29:D30)</f>
        <v>1</v>
      </c>
      <c r="E31" s="189">
        <f>D31</f>
        <v>1</v>
      </c>
      <c r="G31" s="180" t="s">
        <v>554</v>
      </c>
      <c r="H31" s="180"/>
      <c r="I31" s="180"/>
      <c r="J31" s="180"/>
      <c r="K31" s="190">
        <f>K28*(1+(1-K30)*K29)</f>
        <v>0.66045290984858507</v>
      </c>
    </row>
    <row r="33" spans="2:11" x14ac:dyDescent="0.3">
      <c r="B33" s="180" t="s">
        <v>561</v>
      </c>
      <c r="C33" s="180"/>
      <c r="D33" s="181">
        <f>D29/D30</f>
        <v>2.9943033197010276E-3</v>
      </c>
      <c r="E33" s="181">
        <f t="shared" ref="E33" si="4">E29/E30</f>
        <v>5.0251256281407036E-3</v>
      </c>
    </row>
    <row r="34" spans="2:11" x14ac:dyDescent="0.3">
      <c r="G34" s="28" t="s">
        <v>562</v>
      </c>
      <c r="H34" s="28"/>
      <c r="I34" s="28"/>
      <c r="J34" s="28"/>
      <c r="K34" s="29"/>
    </row>
    <row r="36" spans="2:11" x14ac:dyDescent="0.3">
      <c r="J36" s="163" t="s">
        <v>563</v>
      </c>
      <c r="K36" s="163" t="s">
        <v>564</v>
      </c>
    </row>
    <row r="37" spans="2:11" x14ac:dyDescent="0.3">
      <c r="G37" t="s">
        <v>565</v>
      </c>
      <c r="J37" s="5">
        <f>E22</f>
        <v>0.19418132611637348</v>
      </c>
      <c r="K37" s="5">
        <f>E29</f>
        <v>5.0000000000000001E-3</v>
      </c>
    </row>
    <row r="38" spans="2:11" x14ac:dyDescent="0.3">
      <c r="G38" t="s">
        <v>538</v>
      </c>
      <c r="J38" s="5">
        <f>K24</f>
        <v>9.8279107709931562E-2</v>
      </c>
      <c r="K38" s="5">
        <f>E30</f>
        <v>0.995</v>
      </c>
    </row>
    <row r="39" spans="2:11" x14ac:dyDescent="0.3">
      <c r="G39" s="191" t="s">
        <v>562</v>
      </c>
      <c r="H39" s="191"/>
      <c r="I39" s="191"/>
      <c r="J39" s="191"/>
      <c r="K39" s="192">
        <f>SUMPRODUCT(J37:J38,K37:K38)</f>
        <v>9.875861880196378E-2</v>
      </c>
    </row>
  </sheetData>
  <mergeCells count="1">
    <mergeCell ref="F2:J2"/>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48ED-628C-466F-8569-41CE3143D656}">
  <sheetPr>
    <tabColor rgb="FF1B2A63"/>
  </sheetPr>
  <dimension ref="A1:H88"/>
  <sheetViews>
    <sheetView showGridLines="0" topLeftCell="A54" zoomScaleNormal="100" workbookViewId="0">
      <selection activeCell="C76" sqref="C76"/>
    </sheetView>
  </sheetViews>
  <sheetFormatPr defaultColWidth="8.6640625" defaultRowHeight="14.4" x14ac:dyDescent="0.3"/>
  <cols>
    <col min="1" max="1" width="2.88671875" style="99" customWidth="1"/>
    <col min="2" max="2" width="51.44140625" style="99" customWidth="1"/>
    <col min="3" max="7" width="14.88671875" style="99" customWidth="1"/>
    <col min="8" max="8" width="57.109375" style="99" customWidth="1"/>
    <col min="9" max="16384" width="8.6640625" style="99"/>
  </cols>
  <sheetData>
    <row r="1" spans="1:8" x14ac:dyDescent="0.3">
      <c r="A1" s="100"/>
      <c r="B1" s="100"/>
      <c r="C1" s="100"/>
      <c r="D1" s="100"/>
      <c r="E1" s="100"/>
      <c r="F1" s="100"/>
      <c r="G1" s="100"/>
      <c r="H1" s="100"/>
    </row>
    <row r="2" spans="1:8" ht="17.25" customHeight="1" thickBot="1" x14ac:dyDescent="0.35">
      <c r="A2" s="100"/>
      <c r="B2" s="279" t="s">
        <v>292</v>
      </c>
      <c r="C2" s="278"/>
      <c r="D2" s="278"/>
      <c r="E2" s="278"/>
      <c r="F2" s="278"/>
      <c r="G2" s="278"/>
      <c r="H2" s="278"/>
    </row>
    <row r="3" spans="1:8" ht="15" customHeight="1" x14ac:dyDescent="0.3">
      <c r="A3" s="100"/>
      <c r="B3" s="280" t="s">
        <v>293</v>
      </c>
      <c r="C3" s="281"/>
      <c r="D3" s="281"/>
      <c r="E3" s="281"/>
      <c r="F3" s="281"/>
      <c r="G3" s="281"/>
      <c r="H3" s="281"/>
    </row>
    <row r="4" spans="1:8" x14ac:dyDescent="0.3">
      <c r="A4" s="100"/>
      <c r="B4" s="100"/>
      <c r="C4" s="100"/>
      <c r="D4" s="100"/>
      <c r="E4" s="100"/>
      <c r="F4" s="100"/>
      <c r="G4" s="100"/>
      <c r="H4" s="100"/>
    </row>
    <row r="5" spans="1:8" ht="15" customHeight="1" x14ac:dyDescent="0.3">
      <c r="A5" s="100"/>
      <c r="B5" s="282" t="s">
        <v>294</v>
      </c>
      <c r="C5" s="282"/>
      <c r="D5" s="282"/>
      <c r="E5" s="282"/>
      <c r="F5" s="282"/>
      <c r="G5" s="282"/>
      <c r="H5" s="282"/>
    </row>
    <row r="6" spans="1:8" ht="15" customHeight="1" x14ac:dyDescent="0.3">
      <c r="A6" s="100"/>
      <c r="B6" s="114" t="s">
        <v>259</v>
      </c>
      <c r="C6" s="115" t="s">
        <v>260</v>
      </c>
      <c r="D6" s="115" t="s">
        <v>261</v>
      </c>
      <c r="E6" s="115" t="s">
        <v>262</v>
      </c>
      <c r="F6" s="115" t="s">
        <v>263</v>
      </c>
      <c r="G6" s="115" t="s">
        <v>264</v>
      </c>
      <c r="H6" s="114" t="s">
        <v>310</v>
      </c>
    </row>
    <row r="7" spans="1:8" ht="22.8" x14ac:dyDescent="0.3">
      <c r="A7" s="100"/>
      <c r="B7" s="101" t="s">
        <v>265</v>
      </c>
      <c r="C7" s="102">
        <v>0.08</v>
      </c>
      <c r="D7" s="102">
        <v>7.0000000000000007E-2</v>
      </c>
      <c r="E7" s="102">
        <v>7.0000000000000007E-2</v>
      </c>
      <c r="F7" s="102">
        <v>0.06</v>
      </c>
      <c r="G7" s="102">
        <v>0.06</v>
      </c>
      <c r="H7" s="110" t="s">
        <v>311</v>
      </c>
    </row>
    <row r="8" spans="1:8" ht="22.8" x14ac:dyDescent="0.3">
      <c r="A8" s="100"/>
      <c r="B8" s="101" t="s">
        <v>266</v>
      </c>
      <c r="C8" s="102">
        <v>0.23499999999999999</v>
      </c>
      <c r="D8" s="102">
        <v>0.23499999999999999</v>
      </c>
      <c r="E8" s="102">
        <v>0.23499999999999999</v>
      </c>
      <c r="F8" s="102">
        <v>0.23499999999999999</v>
      </c>
      <c r="G8" s="102">
        <v>0.23499999999999999</v>
      </c>
      <c r="H8" s="110" t="s">
        <v>312</v>
      </c>
    </row>
    <row r="9" spans="1:8" ht="22.8" x14ac:dyDescent="0.3">
      <c r="A9" s="100"/>
      <c r="B9" s="101" t="s">
        <v>267</v>
      </c>
      <c r="C9" s="102">
        <v>0.26</v>
      </c>
      <c r="D9" s="102">
        <v>0.26</v>
      </c>
      <c r="E9" s="102">
        <v>0.26</v>
      </c>
      <c r="F9" s="102">
        <v>0.26</v>
      </c>
      <c r="G9" s="102">
        <v>0.26</v>
      </c>
      <c r="H9" s="110" t="s">
        <v>313</v>
      </c>
    </row>
    <row r="10" spans="1:8" x14ac:dyDescent="0.3">
      <c r="A10" s="100"/>
      <c r="B10" s="101" t="s">
        <v>268</v>
      </c>
      <c r="C10" s="102">
        <v>2.1000000000000001E-2</v>
      </c>
      <c r="D10" s="102">
        <v>2.1000000000000001E-2</v>
      </c>
      <c r="E10" s="102">
        <v>2.1000000000000001E-2</v>
      </c>
      <c r="F10" s="102">
        <v>2.1000000000000001E-2</v>
      </c>
      <c r="G10" s="102">
        <v>2.1000000000000001E-2</v>
      </c>
      <c r="H10" s="110" t="s">
        <v>314</v>
      </c>
    </row>
    <row r="11" spans="1:8" x14ac:dyDescent="0.3">
      <c r="A11" s="100"/>
      <c r="B11" s="101" t="s">
        <v>269</v>
      </c>
      <c r="C11" s="102">
        <v>2.3E-2</v>
      </c>
      <c r="D11" s="102">
        <v>2.3E-2</v>
      </c>
      <c r="E11" s="102">
        <v>2.3E-2</v>
      </c>
      <c r="F11" s="102">
        <v>2.3E-2</v>
      </c>
      <c r="G11" s="102">
        <v>2.3E-2</v>
      </c>
      <c r="H11" s="110" t="s">
        <v>315</v>
      </c>
    </row>
    <row r="12" spans="1:8" x14ac:dyDescent="0.3">
      <c r="A12" s="100"/>
      <c r="B12" s="101" t="s">
        <v>270</v>
      </c>
      <c r="C12" s="102">
        <v>5.3999999999999999E-2</v>
      </c>
      <c r="D12" s="102">
        <v>5.3999999999999999E-2</v>
      </c>
      <c r="E12" s="102">
        <v>5.3999999999999999E-2</v>
      </c>
      <c r="F12" s="102">
        <v>5.3999999999999999E-2</v>
      </c>
      <c r="G12" s="102">
        <v>5.3999999999999999E-2</v>
      </c>
      <c r="H12" s="110" t="s">
        <v>316</v>
      </c>
    </row>
    <row r="13" spans="1:8" x14ac:dyDescent="0.3">
      <c r="A13" s="100"/>
      <c r="B13" s="101" t="s">
        <v>271</v>
      </c>
      <c r="C13" s="102">
        <v>0.06</v>
      </c>
      <c r="D13" s="100"/>
      <c r="E13" s="100"/>
      <c r="F13" s="100"/>
      <c r="G13" s="100"/>
      <c r="H13" s="110" t="s">
        <v>317</v>
      </c>
    </row>
    <row r="14" spans="1:8" x14ac:dyDescent="0.3">
      <c r="A14" s="100"/>
      <c r="B14" s="101"/>
      <c r="C14" s="100"/>
      <c r="D14" s="100"/>
      <c r="E14" s="100"/>
      <c r="F14" s="100"/>
      <c r="G14" s="100"/>
      <c r="H14" s="110"/>
    </row>
    <row r="15" spans="1:8" ht="15" customHeight="1" x14ac:dyDescent="0.3">
      <c r="A15" s="100"/>
      <c r="B15" s="283" t="s">
        <v>295</v>
      </c>
      <c r="C15" s="283"/>
      <c r="D15" s="283"/>
      <c r="E15" s="283"/>
      <c r="F15" s="283"/>
      <c r="G15" s="283"/>
      <c r="H15" s="111"/>
    </row>
    <row r="16" spans="1:8" x14ac:dyDescent="0.3">
      <c r="A16" s="100"/>
      <c r="B16" s="101"/>
      <c r="C16" s="100"/>
      <c r="D16" s="100"/>
      <c r="E16" s="100"/>
      <c r="F16" s="100"/>
      <c r="G16" s="100"/>
      <c r="H16" s="110"/>
    </row>
    <row r="17" spans="1:8" x14ac:dyDescent="0.3">
      <c r="A17" s="100"/>
      <c r="B17" s="284" t="s">
        <v>545</v>
      </c>
      <c r="C17" s="284"/>
      <c r="D17" s="100"/>
      <c r="E17" s="100"/>
      <c r="G17" s="100"/>
    </row>
    <row r="18" spans="1:8" x14ac:dyDescent="0.3">
      <c r="A18" s="100"/>
      <c r="B18" t="s">
        <v>546</v>
      </c>
      <c r="C18" s="102">
        <v>6.8000000000000005E-2</v>
      </c>
      <c r="D18" s="100"/>
      <c r="E18" s="100" t="s">
        <v>81</v>
      </c>
      <c r="G18" s="100"/>
      <c r="H18" s="110" t="s">
        <v>318</v>
      </c>
    </row>
    <row r="19" spans="1:8" x14ac:dyDescent="0.3">
      <c r="A19" s="100"/>
      <c r="B19" t="s">
        <v>588</v>
      </c>
      <c r="C19" s="102">
        <v>1.7999999999999999E-2</v>
      </c>
      <c r="D19" s="100"/>
      <c r="E19" s="100"/>
      <c r="G19" s="100"/>
      <c r="H19" s="110" t="s">
        <v>602</v>
      </c>
    </row>
    <row r="20" spans="1:8" x14ac:dyDescent="0.3">
      <c r="A20" s="100"/>
      <c r="B20" t="s">
        <v>548</v>
      </c>
      <c r="C20" s="178">
        <f>C18-C19</f>
        <v>0.05</v>
      </c>
      <c r="D20" s="100"/>
      <c r="E20" s="100"/>
      <c r="G20" s="100"/>
    </row>
    <row r="21" spans="1:8" ht="15.6" customHeight="1" x14ac:dyDescent="0.3">
      <c r="A21" s="100"/>
      <c r="B21" t="s">
        <v>550</v>
      </c>
      <c r="C21" s="178">
        <f>WACC!K22</f>
        <v>7.3099999999999998E-2</v>
      </c>
      <c r="D21" s="100"/>
      <c r="E21" s="100"/>
      <c r="G21" s="100"/>
      <c r="H21" s="110" t="s">
        <v>601</v>
      </c>
    </row>
    <row r="22" spans="1:8" ht="16.2" x14ac:dyDescent="0.3">
      <c r="A22" s="100"/>
      <c r="B22" t="s">
        <v>552</v>
      </c>
      <c r="C22" s="23">
        <f>WACC!K23</f>
        <v>0.66045290984858507</v>
      </c>
      <c r="D22" s="100"/>
      <c r="E22" s="100"/>
      <c r="G22" s="100"/>
      <c r="H22" s="110"/>
    </row>
    <row r="23" spans="1:8" x14ac:dyDescent="0.3">
      <c r="A23" s="100"/>
      <c r="B23" s="180" t="s">
        <v>545</v>
      </c>
      <c r="C23" s="183">
        <f>C20+C21*C22</f>
        <v>9.8279107709931562E-2</v>
      </c>
      <c r="D23" s="100"/>
      <c r="E23" s="100"/>
      <c r="G23" s="100"/>
      <c r="H23" s="110"/>
    </row>
    <row r="24" spans="1:8" ht="6" customHeight="1" x14ac:dyDescent="0.3">
      <c r="A24" s="100"/>
      <c r="B24"/>
      <c r="C24" s="100"/>
      <c r="D24" s="100"/>
      <c r="E24" s="100"/>
      <c r="G24" s="100"/>
    </row>
    <row r="25" spans="1:8" x14ac:dyDescent="0.3">
      <c r="A25" s="100"/>
      <c r="B25" s="284" t="s">
        <v>544</v>
      </c>
      <c r="C25" s="284"/>
      <c r="D25" s="100"/>
      <c r="E25" s="100"/>
      <c r="F25" s="100"/>
      <c r="G25" s="100"/>
      <c r="H25" s="110"/>
    </row>
    <row r="26" spans="1:8" x14ac:dyDescent="0.3">
      <c r="A26" s="100"/>
      <c r="B26"/>
      <c r="C26"/>
      <c r="D26" s="100"/>
      <c r="E26" s="100"/>
      <c r="F26" s="100"/>
      <c r="G26" s="100"/>
      <c r="H26" s="110"/>
    </row>
    <row r="27" spans="1:8" x14ac:dyDescent="0.3">
      <c r="A27" s="100"/>
      <c r="B27" t="s">
        <v>547</v>
      </c>
      <c r="C27" s="5">
        <f>WACC!E20</f>
        <v>0.27740189445196212</v>
      </c>
      <c r="D27" s="100"/>
      <c r="E27" s="100"/>
      <c r="F27" s="100"/>
      <c r="G27" s="100"/>
      <c r="H27" s="110" t="s">
        <v>603</v>
      </c>
    </row>
    <row r="28" spans="1:8" x14ac:dyDescent="0.3">
      <c r="A28" s="100"/>
      <c r="B28" t="s">
        <v>549</v>
      </c>
      <c r="C28" s="102">
        <v>0.3</v>
      </c>
      <c r="D28" s="100"/>
      <c r="E28" s="100"/>
      <c r="F28" s="100"/>
      <c r="G28" s="100"/>
      <c r="H28" s="110"/>
    </row>
    <row r="29" spans="1:8" x14ac:dyDescent="0.3">
      <c r="A29" s="100"/>
      <c r="B29" s="180" t="s">
        <v>551</v>
      </c>
      <c r="C29" s="181">
        <f>C27*(1-C28)</f>
        <v>0.19418132611637348</v>
      </c>
      <c r="D29" s="100"/>
      <c r="E29" s="100"/>
      <c r="F29" s="100"/>
      <c r="G29" s="100"/>
      <c r="H29" s="110"/>
    </row>
    <row r="30" spans="1:8" x14ac:dyDescent="0.3">
      <c r="A30" s="100"/>
      <c r="B30" s="101"/>
      <c r="C30" s="103"/>
      <c r="D30" s="100"/>
      <c r="E30" s="100"/>
      <c r="F30" s="100"/>
      <c r="G30" s="100"/>
      <c r="H30" s="110"/>
    </row>
    <row r="31" spans="1:8" x14ac:dyDescent="0.3">
      <c r="A31" s="100"/>
      <c r="B31" t="s">
        <v>558</v>
      </c>
      <c r="C31" s="102">
        <v>5.0000000000000001E-3</v>
      </c>
      <c r="D31" s="100"/>
      <c r="E31" s="100"/>
      <c r="F31" s="100"/>
      <c r="G31" s="100"/>
      <c r="H31" s="110" t="s">
        <v>604</v>
      </c>
    </row>
    <row r="32" spans="1:8" x14ac:dyDescent="0.3">
      <c r="A32" s="100"/>
      <c r="B32" t="s">
        <v>70</v>
      </c>
      <c r="C32" s="5">
        <f>C33-C31</f>
        <v>0.995</v>
      </c>
      <c r="D32" s="100"/>
      <c r="E32" s="100"/>
      <c r="F32" s="100"/>
      <c r="G32" s="100"/>
      <c r="H32" s="110"/>
    </row>
    <row r="33" spans="1:8" x14ac:dyDescent="0.3">
      <c r="A33" s="100"/>
      <c r="B33" s="180" t="s">
        <v>560</v>
      </c>
      <c r="C33" s="102">
        <v>1</v>
      </c>
      <c r="D33" s="100"/>
      <c r="E33" s="100"/>
      <c r="F33" s="100"/>
      <c r="G33" s="100"/>
      <c r="H33" s="110"/>
    </row>
    <row r="34" spans="1:8" x14ac:dyDescent="0.3">
      <c r="A34" s="100"/>
      <c r="B34" s="101"/>
      <c r="C34" s="103"/>
      <c r="D34" s="100"/>
      <c r="E34" s="100"/>
      <c r="F34" s="100"/>
      <c r="G34" s="100"/>
      <c r="H34" s="110"/>
    </row>
    <row r="35" spans="1:8" x14ac:dyDescent="0.3">
      <c r="A35" s="100"/>
      <c r="B35" s="118" t="s">
        <v>272</v>
      </c>
      <c r="C35" s="107">
        <f>C31*C29+C23*C32</f>
        <v>9.875861880196378E-2</v>
      </c>
      <c r="D35" s="100"/>
      <c r="E35" s="100"/>
      <c r="F35" s="100"/>
      <c r="G35" s="100"/>
      <c r="H35" s="110"/>
    </row>
    <row r="36" spans="1:8" x14ac:dyDescent="0.3">
      <c r="A36" s="100"/>
      <c r="B36" s="101"/>
      <c r="C36" s="100"/>
      <c r="D36" s="100"/>
      <c r="E36" s="100"/>
      <c r="F36" s="100"/>
      <c r="G36" s="100"/>
      <c r="H36" s="110"/>
    </row>
    <row r="37" spans="1:8" ht="15" customHeight="1" x14ac:dyDescent="0.3">
      <c r="A37" s="100"/>
      <c r="B37" s="282" t="s">
        <v>296</v>
      </c>
      <c r="C37" s="282"/>
      <c r="D37" s="282"/>
      <c r="E37" s="282"/>
      <c r="F37" s="282"/>
      <c r="G37" s="282"/>
      <c r="H37" s="112"/>
    </row>
    <row r="38" spans="1:8" ht="15" customHeight="1" x14ac:dyDescent="0.3">
      <c r="A38" s="100"/>
      <c r="B38" s="114" t="s">
        <v>212</v>
      </c>
      <c r="C38" s="115" t="s">
        <v>260</v>
      </c>
      <c r="D38" s="115" t="s">
        <v>261</v>
      </c>
      <c r="E38" s="115" t="s">
        <v>262</v>
      </c>
      <c r="F38" s="115" t="s">
        <v>263</v>
      </c>
      <c r="G38" s="115" t="s">
        <v>264</v>
      </c>
      <c r="H38" s="113"/>
    </row>
    <row r="39" spans="1:8" ht="15" customHeight="1" x14ac:dyDescent="0.3">
      <c r="A39" s="100"/>
      <c r="B39" s="101" t="s">
        <v>89</v>
      </c>
      <c r="C39" s="123">
        <f>'Data Sheet'!K17*(1+'DCF Valuation'!C7)</f>
        <v>69625.440000000002</v>
      </c>
      <c r="D39" s="123">
        <f>C39*(1+D7)</f>
        <v>74499.22080000001</v>
      </c>
      <c r="E39" s="123">
        <f>D39*(1+E7)</f>
        <v>79714.166256000011</v>
      </c>
      <c r="F39" s="123">
        <f>E39*(1+F7)</f>
        <v>84497.016231360016</v>
      </c>
      <c r="G39" s="123">
        <f>F39*(1+G7)</f>
        <v>89566.837205241623</v>
      </c>
      <c r="H39" s="110"/>
    </row>
    <row r="40" spans="1:8" ht="15" customHeight="1" x14ac:dyDescent="0.3">
      <c r="A40" s="100"/>
      <c r="B40" s="101" t="s">
        <v>273</v>
      </c>
      <c r="C40" s="123">
        <f t="shared" ref="C40:G41" si="0">C39*C8</f>
        <v>16361.9784</v>
      </c>
      <c r="D40" s="123">
        <f t="shared" si="0"/>
        <v>17507.316888000001</v>
      </c>
      <c r="E40" s="123">
        <f t="shared" si="0"/>
        <v>18732.829070160002</v>
      </c>
      <c r="F40" s="123">
        <f t="shared" si="0"/>
        <v>19856.798814369602</v>
      </c>
      <c r="G40" s="123">
        <f t="shared" si="0"/>
        <v>21048.206743231782</v>
      </c>
      <c r="H40" s="110"/>
    </row>
    <row r="41" spans="1:8" ht="15" customHeight="1" x14ac:dyDescent="0.3">
      <c r="A41" s="100"/>
      <c r="B41" s="101" t="s">
        <v>274</v>
      </c>
      <c r="C41" s="123">
        <f t="shared" si="0"/>
        <v>4254.1143840000004</v>
      </c>
      <c r="D41" s="123">
        <f t="shared" si="0"/>
        <v>4551.9023908800009</v>
      </c>
      <c r="E41" s="123">
        <f t="shared" si="0"/>
        <v>4870.5355582416005</v>
      </c>
      <c r="F41" s="123">
        <f t="shared" si="0"/>
        <v>5162.7676917360968</v>
      </c>
      <c r="G41" s="123">
        <f t="shared" si="0"/>
        <v>5472.5337532402636</v>
      </c>
      <c r="H41" s="110"/>
    </row>
    <row r="42" spans="1:8" ht="15" customHeight="1" x14ac:dyDescent="0.3">
      <c r="A42" s="100"/>
      <c r="B42" s="118" t="s">
        <v>275</v>
      </c>
      <c r="C42" s="124">
        <f>C40-C41</f>
        <v>12107.864016</v>
      </c>
      <c r="D42" s="124">
        <f>D40-D41</f>
        <v>12955.41449712</v>
      </c>
      <c r="E42" s="124">
        <f>E40-E41</f>
        <v>13862.2935119184</v>
      </c>
      <c r="F42" s="124">
        <f>F40-F41</f>
        <v>14694.031122633505</v>
      </c>
      <c r="G42" s="124">
        <f>G40-G41</f>
        <v>15575.672989991519</v>
      </c>
      <c r="H42" s="110"/>
    </row>
    <row r="43" spans="1:8" x14ac:dyDescent="0.3">
      <c r="A43" s="100"/>
      <c r="B43" s="101"/>
      <c r="C43" s="100"/>
      <c r="D43" s="100"/>
      <c r="E43" s="100"/>
      <c r="F43" s="100"/>
      <c r="G43" s="100"/>
      <c r="H43" s="110"/>
    </row>
    <row r="44" spans="1:8" ht="15" customHeight="1" x14ac:dyDescent="0.3">
      <c r="A44" s="100"/>
      <c r="B44" s="116" t="s">
        <v>297</v>
      </c>
      <c r="C44" s="105"/>
      <c r="D44" s="105"/>
      <c r="E44" s="105"/>
      <c r="F44" s="105"/>
      <c r="G44" s="105"/>
      <c r="H44" s="112"/>
    </row>
    <row r="45" spans="1:8" ht="15" customHeight="1" x14ac:dyDescent="0.3">
      <c r="A45" s="100"/>
      <c r="B45" s="114" t="s">
        <v>212</v>
      </c>
      <c r="C45" s="115" t="s">
        <v>260</v>
      </c>
      <c r="D45" s="115" t="s">
        <v>261</v>
      </c>
      <c r="E45" s="115" t="s">
        <v>262</v>
      </c>
      <c r="F45" s="115" t="s">
        <v>263</v>
      </c>
      <c r="G45" s="115" t="s">
        <v>264</v>
      </c>
      <c r="H45" s="113"/>
    </row>
    <row r="46" spans="1:8" ht="15" customHeight="1" x14ac:dyDescent="0.3">
      <c r="A46" s="100"/>
      <c r="B46" s="101" t="s">
        <v>276</v>
      </c>
      <c r="C46" s="123">
        <f>C39*C12</f>
        <v>3759.77376</v>
      </c>
      <c r="D46" s="123">
        <f>D39*D12</f>
        <v>4022.9579232000006</v>
      </c>
      <c r="E46" s="123">
        <f>E39*E12</f>
        <v>4304.5649778240004</v>
      </c>
      <c r="F46" s="123">
        <f>F39*F12</f>
        <v>4562.8388764934407</v>
      </c>
      <c r="G46" s="123">
        <f>G39*G12</f>
        <v>4836.609209083048</v>
      </c>
      <c r="H46" s="110"/>
    </row>
    <row r="47" spans="1:8" ht="15" customHeight="1" x14ac:dyDescent="0.3">
      <c r="A47" s="100"/>
      <c r="B47" s="101" t="s">
        <v>277</v>
      </c>
      <c r="C47" s="123">
        <v>287.77376000000004</v>
      </c>
      <c r="D47" s="123">
        <f>D46-C46</f>
        <v>263.18416320000051</v>
      </c>
      <c r="E47" s="123">
        <f>E46-D46</f>
        <v>281.60705462399983</v>
      </c>
      <c r="F47" s="123">
        <f>F46-E46</f>
        <v>258.27389866944031</v>
      </c>
      <c r="G47" s="123">
        <f>G46-F46</f>
        <v>273.77033258960728</v>
      </c>
      <c r="H47" s="110"/>
    </row>
    <row r="48" spans="1:8" ht="15" customHeight="1" x14ac:dyDescent="0.3">
      <c r="A48" s="100"/>
      <c r="B48" s="101" t="s">
        <v>278</v>
      </c>
      <c r="C48" s="123">
        <f>C39*C11</f>
        <v>1601.3851199999999</v>
      </c>
      <c r="D48" s="123">
        <f>D39*D11</f>
        <v>1713.4820784000001</v>
      </c>
      <c r="E48" s="123">
        <f>E39*E11</f>
        <v>1833.4258238880002</v>
      </c>
      <c r="F48" s="123">
        <f>F39*F11</f>
        <v>1943.4313733212803</v>
      </c>
      <c r="G48" s="123">
        <f>G39*G11</f>
        <v>2060.0372557205574</v>
      </c>
      <c r="H48" s="110"/>
    </row>
    <row r="49" spans="1:8" ht="15" customHeight="1" x14ac:dyDescent="0.3">
      <c r="A49" s="100"/>
      <c r="B49" s="101" t="s">
        <v>302</v>
      </c>
      <c r="C49" s="123">
        <f>C39*C10</f>
        <v>1462.1342400000001</v>
      </c>
      <c r="D49" s="123">
        <f>D39*D10</f>
        <v>1564.4836368000003</v>
      </c>
      <c r="E49" s="123">
        <f>E39*E10</f>
        <v>1673.9974913760004</v>
      </c>
      <c r="F49" s="123">
        <f>F39*F10</f>
        <v>1774.4373408585604</v>
      </c>
      <c r="G49" s="123">
        <f>G39*G10</f>
        <v>1880.9035813100743</v>
      </c>
      <c r="H49" s="110"/>
    </row>
    <row r="50" spans="1:8" ht="15" customHeight="1" x14ac:dyDescent="0.3">
      <c r="A50" s="100"/>
      <c r="B50" s="101" t="s">
        <v>279</v>
      </c>
      <c r="C50" s="123">
        <v>58308</v>
      </c>
      <c r="D50" s="123">
        <f>C51</f>
        <v>58447.25088</v>
      </c>
      <c r="E50" s="123">
        <f>D51</f>
        <v>58596.249321599993</v>
      </c>
      <c r="F50" s="123">
        <f>E51</f>
        <v>58755.677654111991</v>
      </c>
      <c r="G50" s="123">
        <f>F51</f>
        <v>58924.671686574708</v>
      </c>
      <c r="H50" s="110"/>
    </row>
    <row r="51" spans="1:8" ht="15" customHeight="1" x14ac:dyDescent="0.3">
      <c r="A51" s="100"/>
      <c r="B51" s="101" t="s">
        <v>280</v>
      </c>
      <c r="C51" s="123">
        <f>C50+C48-C49</f>
        <v>58447.25088</v>
      </c>
      <c r="D51" s="123">
        <f>D50+D48-D49</f>
        <v>58596.249321599993</v>
      </c>
      <c r="E51" s="123">
        <f>E50+E48-E49</f>
        <v>58755.677654111991</v>
      </c>
      <c r="F51" s="123">
        <f>F50+F48-F49</f>
        <v>58924.671686574708</v>
      </c>
      <c r="G51" s="123">
        <f>G50+G48-G49</f>
        <v>59103.805360985192</v>
      </c>
      <c r="H51" s="110"/>
    </row>
    <row r="52" spans="1:8" x14ac:dyDescent="0.3">
      <c r="A52" s="100"/>
      <c r="B52" s="101"/>
      <c r="C52" s="100"/>
      <c r="D52" s="100"/>
      <c r="E52" s="100"/>
      <c r="F52" s="100"/>
      <c r="G52" s="100"/>
      <c r="H52" s="110"/>
    </row>
    <row r="53" spans="1:8" ht="15" customHeight="1" x14ac:dyDescent="0.3">
      <c r="A53" s="100"/>
      <c r="B53" s="116" t="s">
        <v>298</v>
      </c>
      <c r="C53" s="105"/>
      <c r="D53" s="105"/>
      <c r="E53" s="105"/>
      <c r="F53" s="105"/>
      <c r="G53" s="105"/>
      <c r="H53" s="112"/>
    </row>
    <row r="54" spans="1:8" ht="15" customHeight="1" x14ac:dyDescent="0.3">
      <c r="A54" s="100"/>
      <c r="B54" s="114" t="s">
        <v>212</v>
      </c>
      <c r="C54" s="115" t="s">
        <v>260</v>
      </c>
      <c r="D54" s="115" t="s">
        <v>261</v>
      </c>
      <c r="E54" s="115" t="s">
        <v>262</v>
      </c>
      <c r="F54" s="115" t="s">
        <v>263</v>
      </c>
      <c r="G54" s="115" t="s">
        <v>264</v>
      </c>
      <c r="H54" s="113"/>
    </row>
    <row r="55" spans="1:8" ht="15" customHeight="1" x14ac:dyDescent="0.3">
      <c r="A55" s="100"/>
      <c r="B55" s="101" t="s">
        <v>275</v>
      </c>
      <c r="C55" s="123">
        <f>C42</f>
        <v>12107.864016</v>
      </c>
      <c r="D55" s="123">
        <f>D42</f>
        <v>12955.41449712</v>
      </c>
      <c r="E55" s="123">
        <f>E42</f>
        <v>13862.2935119184</v>
      </c>
      <c r="F55" s="123">
        <f>F42</f>
        <v>14694.031122633505</v>
      </c>
      <c r="G55" s="123">
        <f>G42</f>
        <v>15575.672989991519</v>
      </c>
      <c r="H55" s="110"/>
    </row>
    <row r="56" spans="1:8" ht="15" customHeight="1" x14ac:dyDescent="0.3">
      <c r="A56" s="100"/>
      <c r="B56" s="101" t="s">
        <v>281</v>
      </c>
      <c r="C56" s="123">
        <f>C49</f>
        <v>1462.1342400000001</v>
      </c>
      <c r="D56" s="123">
        <f>D49</f>
        <v>1564.4836368000003</v>
      </c>
      <c r="E56" s="123">
        <f>E49</f>
        <v>1673.9974913760004</v>
      </c>
      <c r="F56" s="123">
        <f>F49</f>
        <v>1774.4373408585604</v>
      </c>
      <c r="G56" s="123">
        <f>G49</f>
        <v>1880.9035813100743</v>
      </c>
      <c r="H56" s="110"/>
    </row>
    <row r="57" spans="1:8" ht="15" customHeight="1" x14ac:dyDescent="0.3">
      <c r="A57" s="100"/>
      <c r="B57" s="101" t="s">
        <v>282</v>
      </c>
      <c r="C57" s="123">
        <f>-C48</f>
        <v>-1601.3851199999999</v>
      </c>
      <c r="D57" s="123">
        <f>-D48</f>
        <v>-1713.4820784000001</v>
      </c>
      <c r="E57" s="123">
        <f>-E48</f>
        <v>-1833.4258238880002</v>
      </c>
      <c r="F57" s="123">
        <f>-F48</f>
        <v>-1943.4313733212803</v>
      </c>
      <c r="G57" s="123">
        <f>-G48</f>
        <v>-2060.0372557205574</v>
      </c>
      <c r="H57" s="110"/>
    </row>
    <row r="58" spans="1:8" ht="15" customHeight="1" x14ac:dyDescent="0.3">
      <c r="A58" s="100"/>
      <c r="B58" s="101" t="s">
        <v>283</v>
      </c>
      <c r="C58" s="123">
        <f>-C47</f>
        <v>-287.77376000000004</v>
      </c>
      <c r="D58" s="123">
        <f>-D47</f>
        <v>-263.18416320000051</v>
      </c>
      <c r="E58" s="123">
        <f>-E47</f>
        <v>-281.60705462399983</v>
      </c>
      <c r="F58" s="123">
        <f>-F47</f>
        <v>-258.27389866944031</v>
      </c>
      <c r="G58" s="123">
        <f>-G47</f>
        <v>-273.77033258960728</v>
      </c>
      <c r="H58" s="110"/>
    </row>
    <row r="59" spans="1:8" ht="15" customHeight="1" x14ac:dyDescent="0.3">
      <c r="A59" s="100"/>
      <c r="B59" s="118" t="s">
        <v>284</v>
      </c>
      <c r="C59" s="124">
        <f>C55+C56+C57+C58</f>
        <v>11680.839376</v>
      </c>
      <c r="D59" s="124">
        <f>D55+D56+D57+D58</f>
        <v>12543.23189232</v>
      </c>
      <c r="E59" s="124">
        <f>E55+E56+E57+E58</f>
        <v>13421.258124782398</v>
      </c>
      <c r="F59" s="124">
        <f>F55+F56+F57+F58</f>
        <v>14266.763191501346</v>
      </c>
      <c r="G59" s="124">
        <f>G55+G56+G57+G58</f>
        <v>15122.768982991429</v>
      </c>
      <c r="H59" s="110"/>
    </row>
    <row r="60" spans="1:8" ht="15" customHeight="1" x14ac:dyDescent="0.3">
      <c r="A60" s="100"/>
      <c r="B60" s="101" t="s">
        <v>285</v>
      </c>
      <c r="C60" s="244">
        <v>0.5</v>
      </c>
      <c r="D60" s="244">
        <f>C60+1</f>
        <v>1.5</v>
      </c>
      <c r="E60" s="244">
        <f t="shared" ref="E60:G60" si="1">D60+1</f>
        <v>2.5</v>
      </c>
      <c r="F60" s="244">
        <f t="shared" si="1"/>
        <v>3.5</v>
      </c>
      <c r="G60" s="244">
        <f t="shared" si="1"/>
        <v>4.5</v>
      </c>
      <c r="H60" s="246" t="s">
        <v>659</v>
      </c>
    </row>
    <row r="61" spans="1:8" ht="15" customHeight="1" x14ac:dyDescent="0.3">
      <c r="A61" s="100"/>
      <c r="B61" s="101" t="s">
        <v>286</v>
      </c>
      <c r="C61" s="106">
        <f>1/(1+$C$35)^C60</f>
        <v>0.95400104982646894</v>
      </c>
      <c r="D61" s="106">
        <f>1/(1+$C$35)^D60</f>
        <v>0.86825353039475417</v>
      </c>
      <c r="E61" s="106">
        <f>1/(1+$C$35)^E60</f>
        <v>0.79021316924135532</v>
      </c>
      <c r="F61" s="106">
        <f>1/(1+$C$35)^F60</f>
        <v>0.71918723158956221</v>
      </c>
      <c r="G61" s="106">
        <f>1/(1+$C$35)^G60</f>
        <v>0.65454524704773753</v>
      </c>
      <c r="H61" s="110"/>
    </row>
    <row r="62" spans="1:8" ht="18.600000000000001" customHeight="1" x14ac:dyDescent="0.3">
      <c r="A62" s="100"/>
      <c r="B62" s="118" t="s">
        <v>287</v>
      </c>
      <c r="C62" s="124">
        <f>C59*C61</f>
        <v>11143.533027558356</v>
      </c>
      <c r="D62" s="124">
        <f>D59*D61</f>
        <v>10890.705373066912</v>
      </c>
      <c r="E62" s="124">
        <f>E59*E61</f>
        <v>10605.654917990589</v>
      </c>
      <c r="F62" s="124">
        <f>F59*F61</f>
        <v>10260.47392343972</v>
      </c>
      <c r="G62" s="124">
        <f>G59*G61</f>
        <v>9898.5365600179866</v>
      </c>
      <c r="H62" s="110"/>
    </row>
    <row r="63" spans="1:8" x14ac:dyDescent="0.3">
      <c r="A63" s="100"/>
      <c r="B63" s="101"/>
      <c r="C63" s="100"/>
      <c r="D63" s="100"/>
      <c r="E63" s="100"/>
      <c r="F63" s="100"/>
      <c r="G63" s="100"/>
      <c r="H63" s="110"/>
    </row>
    <row r="64" spans="1:8" ht="15" customHeight="1" x14ac:dyDescent="0.3">
      <c r="A64" s="100"/>
      <c r="B64" s="117" t="s">
        <v>299</v>
      </c>
      <c r="C64" s="104"/>
      <c r="D64" s="104"/>
      <c r="E64" s="104"/>
      <c r="F64" s="104"/>
      <c r="G64" s="104"/>
      <c r="H64" s="111"/>
    </row>
    <row r="65" spans="1:8" x14ac:dyDescent="0.3">
      <c r="A65" s="100"/>
      <c r="B65" s="101"/>
      <c r="C65" s="100"/>
      <c r="D65" s="100"/>
      <c r="E65" s="100"/>
      <c r="F65" s="100"/>
      <c r="G65" s="100"/>
      <c r="H65" s="110"/>
    </row>
    <row r="66" spans="1:8" x14ac:dyDescent="0.3">
      <c r="A66" s="100"/>
      <c r="B66" s="101" t="s">
        <v>303</v>
      </c>
      <c r="C66" s="247">
        <f>SUM(C62:G62)</f>
        <v>52798.903802073568</v>
      </c>
      <c r="D66" s="100"/>
      <c r="E66" s="100"/>
      <c r="F66" s="100"/>
      <c r="G66" s="100"/>
      <c r="H66" s="110"/>
    </row>
    <row r="67" spans="1:8" x14ac:dyDescent="0.3">
      <c r="A67" s="100"/>
      <c r="B67" s="101" t="s">
        <v>308</v>
      </c>
      <c r="C67" s="247">
        <f>G59*(1+C13)/(C35-C13)</f>
        <v>413588.91563903505</v>
      </c>
      <c r="D67" s="100"/>
      <c r="E67" s="100"/>
      <c r="F67" s="100"/>
      <c r="G67" s="100"/>
      <c r="H67" s="110"/>
    </row>
    <row r="68" spans="1:8" x14ac:dyDescent="0.3">
      <c r="A68" s="100"/>
      <c r="B68" s="101" t="s">
        <v>288</v>
      </c>
      <c r="C68" s="247">
        <f>C67*G61</f>
        <v>270712.65896315809</v>
      </c>
      <c r="D68" s="100" t="s">
        <v>81</v>
      </c>
      <c r="E68" s="100"/>
      <c r="F68" s="100"/>
      <c r="G68" s="100"/>
      <c r="H68" s="110"/>
    </row>
    <row r="69" spans="1:8" x14ac:dyDescent="0.3">
      <c r="A69" s="100"/>
      <c r="B69" s="118" t="s">
        <v>123</v>
      </c>
      <c r="C69" s="248">
        <f>C66+C68</f>
        <v>323511.56276523165</v>
      </c>
      <c r="D69" s="100"/>
      <c r="E69" s="100"/>
      <c r="F69" s="100"/>
      <c r="G69" s="100"/>
      <c r="H69" s="110"/>
    </row>
    <row r="70" spans="1:8" x14ac:dyDescent="0.3">
      <c r="A70" s="100"/>
      <c r="B70" s="101" t="s">
        <v>307</v>
      </c>
      <c r="C70" s="247">
        <f>-'Data Sheet'!K59</f>
        <v>-1478</v>
      </c>
      <c r="D70" s="100"/>
      <c r="E70" s="100"/>
      <c r="F70" s="100"/>
      <c r="G70" s="100"/>
      <c r="H70" s="110"/>
    </row>
    <row r="71" spans="1:8" x14ac:dyDescent="0.3">
      <c r="A71" s="100"/>
      <c r="B71" s="101" t="s">
        <v>304</v>
      </c>
      <c r="C71" s="247">
        <f>'Data Sheet'!K69</f>
        <v>3248</v>
      </c>
      <c r="D71" s="100"/>
      <c r="E71" s="100"/>
      <c r="F71" s="100"/>
      <c r="G71" s="100"/>
      <c r="H71" s="110"/>
    </row>
    <row r="72" spans="1:8" x14ac:dyDescent="0.3">
      <c r="A72" s="100"/>
      <c r="B72" s="118" t="s">
        <v>121</v>
      </c>
      <c r="C72" s="248">
        <f>C69+C70+C71</f>
        <v>325281.56276523165</v>
      </c>
      <c r="D72" s="100"/>
      <c r="E72" s="100"/>
      <c r="F72" s="100"/>
      <c r="G72" s="100"/>
      <c r="H72" s="110"/>
    </row>
    <row r="73" spans="1:8" ht="22.8" x14ac:dyDescent="0.3">
      <c r="A73" s="100"/>
      <c r="B73" s="101" t="s">
        <v>289</v>
      </c>
      <c r="C73" s="247">
        <f>'Data Sheet'!K93</f>
        <v>234.96</v>
      </c>
      <c r="D73" s="100"/>
      <c r="E73" s="100"/>
      <c r="F73" s="100"/>
      <c r="G73" s="100"/>
      <c r="H73" s="110" t="s">
        <v>321</v>
      </c>
    </row>
    <row r="74" spans="1:8" x14ac:dyDescent="0.3">
      <c r="A74" s="100"/>
      <c r="B74" s="119" t="s">
        <v>306</v>
      </c>
      <c r="C74" s="249">
        <f>C72/C73</f>
        <v>1384.4125075129027</v>
      </c>
      <c r="D74" s="100"/>
      <c r="E74" s="100"/>
      <c r="F74" s="100"/>
      <c r="G74" s="100"/>
      <c r="H74" s="100"/>
    </row>
    <row r="75" spans="1:8" x14ac:dyDescent="0.3">
      <c r="A75" s="100"/>
      <c r="B75" s="101" t="s">
        <v>305</v>
      </c>
      <c r="C75" s="250">
        <v>2108</v>
      </c>
      <c r="D75" s="100"/>
      <c r="E75" s="100"/>
      <c r="F75" s="100"/>
      <c r="G75" s="100"/>
      <c r="H75" s="100"/>
    </row>
    <row r="76" spans="1:8" x14ac:dyDescent="0.3">
      <c r="A76" s="100"/>
      <c r="B76" s="120" t="s">
        <v>290</v>
      </c>
      <c r="C76" s="108">
        <f>C74/C75-1</f>
        <v>-0.34325782376048253</v>
      </c>
      <c r="D76" s="100"/>
      <c r="E76" s="100"/>
      <c r="F76" s="100"/>
      <c r="G76" s="100"/>
      <c r="H76" s="100"/>
    </row>
    <row r="77" spans="1:8" x14ac:dyDescent="0.3">
      <c r="A77" s="100"/>
      <c r="B77" s="101"/>
      <c r="C77" s="100"/>
      <c r="D77" s="100"/>
      <c r="E77" s="100"/>
      <c r="F77" s="100"/>
      <c r="G77" s="100"/>
      <c r="H77" s="100"/>
    </row>
    <row r="78" spans="1:8" ht="30" customHeight="1" x14ac:dyDescent="0.3">
      <c r="A78" s="100"/>
      <c r="B78" s="121" t="s">
        <v>309</v>
      </c>
      <c r="C78" s="371" t="s">
        <v>661</v>
      </c>
      <c r="D78" s="371"/>
      <c r="E78" s="371"/>
      <c r="F78" s="371"/>
      <c r="G78" s="371"/>
      <c r="H78" s="371"/>
    </row>
    <row r="79" spans="1:8" ht="15" customHeight="1" x14ac:dyDescent="0.3">
      <c r="A79" s="100"/>
      <c r="B79" s="117" t="s">
        <v>300</v>
      </c>
      <c r="C79" s="104"/>
      <c r="D79" s="104"/>
      <c r="E79" s="104"/>
      <c r="F79" s="104"/>
      <c r="G79" s="104"/>
      <c r="H79" s="104"/>
    </row>
    <row r="80" spans="1:8" x14ac:dyDescent="0.3">
      <c r="A80" s="100"/>
      <c r="B80" s="122" t="s">
        <v>301</v>
      </c>
      <c r="D80" s="100"/>
      <c r="E80" s="100"/>
      <c r="F80" s="100"/>
      <c r="G80" s="100"/>
      <c r="H80" s="100"/>
    </row>
    <row r="81" spans="1:8" ht="15" customHeight="1" x14ac:dyDescent="0.3">
      <c r="A81" s="100"/>
      <c r="B81" s="245">
        <f>C74</f>
        <v>1384.4125075129027</v>
      </c>
      <c r="C81" s="109">
        <v>0.05</v>
      </c>
      <c r="D81" s="109">
        <v>5.5E-2</v>
      </c>
      <c r="E81" s="109">
        <v>0.06</v>
      </c>
      <c r="F81" s="109">
        <v>6.5000000000000002E-2</v>
      </c>
      <c r="G81" s="109">
        <v>7.0000000000000007E-2</v>
      </c>
      <c r="H81" s="100"/>
    </row>
    <row r="82" spans="1:8" ht="15" customHeight="1" x14ac:dyDescent="0.3">
      <c r="A82" s="100"/>
      <c r="B82" s="126">
        <f>B83-0.005</f>
        <v>8.8758618801963771E-2</v>
      </c>
      <c r="C82" s="125" cm="1">
        <f t="array" ref="C82">(SUMPRODUCT($C$59:$G$59,1/(1+$B82)^$C$60:$G$60)+($G$59*(1+C$81)/($B82-C$81))/(1+$B82)^$G$60+$C$70+$C$71)/$C$73</f>
        <v>1426.5688920414536</v>
      </c>
      <c r="D82" s="125" cm="1">
        <f t="array" ref="D82">(SUMPRODUCT($C$59:$G$59,1/(1+$B82)^$C$60:$G$60)+($G$59*(1+D$81)/($B82-D$81))/(1+$B82)^$G$60+$C$70+$C$71)/$C$73</f>
        <v>1609.2080120501064</v>
      </c>
      <c r="E82" s="125" cm="1">
        <f t="array" ref="E82">(SUMPRODUCT($C$59:$G$59,1/(1+$B82)^$C$60:$G$60)+($G$59*(1+E$81)/($B82-E$81))/(1+$B82)^$G$60+$C$70+$C$71)/$C$73</f>
        <v>1855.3547439042147</v>
      </c>
      <c r="F82" s="125" cm="1">
        <f t="array" ref="F82">(SUMPRODUCT($C$59:$G$59,1/(1+$B82)^$C$60:$G$60)+($G$59*(1+F$81)/($B82-F$81))/(1+$B82)^$G$60+$C$70+$C$71)/$C$73</f>
        <v>2205.1046077020719</v>
      </c>
      <c r="G82" s="125" cm="1">
        <f t="array" ref="G82">(SUMPRODUCT($C$59:$G$59,1/(1+$B82)^$C$60:$G$60)+($G$59*(1+G$81)/($B82-G$81))/(1+$B82)^$G$60+$C$70+$C$71)/$C$73</f>
        <v>2741.3020279486186</v>
      </c>
      <c r="H82" s="100"/>
    </row>
    <row r="83" spans="1:8" ht="15" customHeight="1" x14ac:dyDescent="0.3">
      <c r="A83" s="100"/>
      <c r="B83" s="126">
        <f>B84-0.005</f>
        <v>9.3758618801963775E-2</v>
      </c>
      <c r="C83" s="125" cm="1">
        <f t="array" ref="C83">(SUMPRODUCT($C$59:$G$59,1/(1+$B83)^$C$60:$G$60)+($G$59*(1+C$81)/($B83-C$81))/(1+$B83)^$G$60+$C$70+$C$71)/$C$73</f>
        <v>1266.6175946819033</v>
      </c>
      <c r="D83" s="125" cm="1">
        <f t="array" ref="D83">(SUMPRODUCT($C$59:$G$59,1/(1+$B83)^$C$60:$G$60)+($G$59*(1+D$81)/($B83-D$81))/(1+$B83)^$G$60+$C$70+$C$71)/$C$73</f>
        <v>1405.2773029346024</v>
      </c>
      <c r="E83" s="125" cm="1">
        <f t="array" ref="E83">(SUMPRODUCT($C$59:$G$59,1/(1+$B83)^$C$60:$G$60)+($G$59*(1+E$81)/($B83-E$81))/(1+$B83)^$G$60+$C$70+$C$71)/$C$73</f>
        <v>1585.0108800757512</v>
      </c>
      <c r="F83" s="125" cm="1">
        <f t="array" ref="F83">(SUMPRODUCT($C$59:$G$59,1/(1+$B83)^$C$60:$G$60)+($G$59*(1+F$81)/($B83-F$81))/(1+$B83)^$G$60+$C$70+$C$71)/$C$73</f>
        <v>1827.2417483346765</v>
      </c>
      <c r="G83" s="125" cm="1">
        <f t="array" ref="G83">(SUMPRODUCT($C$59:$G$59,1/(1+$B83)^$C$60:$G$60)+($G$59*(1+G$81)/($B83-G$81))/(1+$B83)^$G$60+$C$70+$C$71)/$C$73</f>
        <v>2171.4275619875252</v>
      </c>
      <c r="H83" s="100"/>
    </row>
    <row r="84" spans="1:8" ht="15" customHeight="1" x14ac:dyDescent="0.3">
      <c r="A84" s="100"/>
      <c r="B84" s="126">
        <f>C35</f>
        <v>9.875861880196378E-2</v>
      </c>
      <c r="C84" s="125" cm="1">
        <f t="array" ref="C84">(SUMPRODUCT($C$59:$G$59,1/(1+$B84)^$C$60:$G$60)+($G$59*(1+C$81)/($B84-C$81))/(1+$B84)^$G$60+$C$70+$C$71)/$C$73</f>
        <v>1139.4725344257758</v>
      </c>
      <c r="D84" s="125" cm="1">
        <f t="array" ref="D84">(SUMPRODUCT($C$59:$G$59,1/(1+$B84)^$C$60:$G$60)+($G$59*(1+D$81)/($B84-D$81))/(1+$B84)^$G$60+$C$70+$C$71)/$C$73</f>
        <v>1247.9487078764466</v>
      </c>
      <c r="E84" s="308" cm="1">
        <f t="array" ref="E84">(SUMPRODUCT($C$59:$G$59,1/(1+$B84)^$C$60:$G$60)+($G$59*(1+E$81)/($B84-E$81))/(1+$B84)^$G$60+$C$70+$C$71)/$C$73</f>
        <v>1384.4125075129025</v>
      </c>
      <c r="F84" s="125" cm="1">
        <f t="array" ref="F84">(SUMPRODUCT($C$59:$G$59,1/(1+$B84)^$C$60:$G$60)+($G$59*(1+F$81)/($B84-F$81))/(1+$B84)^$G$60+$C$70+$C$71)/$C$73</f>
        <v>1561.2997025604641</v>
      </c>
      <c r="G84" s="125" cm="1">
        <f t="array" ref="G84">(SUMPRODUCT($C$59:$G$59,1/(1+$B84)^$C$60:$G$60)+($G$59*(1+G$81)/($B84-G$81))/(1+$B84)^$G$60+$C$70+$C$71)/$C$73</f>
        <v>1799.6944394916031</v>
      </c>
      <c r="H84" s="100"/>
    </row>
    <row r="85" spans="1:8" ht="15" customHeight="1" x14ac:dyDescent="0.3">
      <c r="A85" s="100"/>
      <c r="B85" s="126">
        <f>B84+0.005</f>
        <v>0.10375861880196378</v>
      </c>
      <c r="C85" s="125" cm="1">
        <f t="array" ref="C85">(SUMPRODUCT($C$59:$G$59,1/(1+$B85)^$C$60:$G$60)+($G$59*(1+C$81)/($B85-C$81))/(1+$B85)^$G$60+$C$70+$C$71)/$C$73</f>
        <v>1035.9798509617438</v>
      </c>
      <c r="D85" s="125" cm="1">
        <f t="array" ref="D85">(SUMPRODUCT($C$59:$G$59,1/(1+$B85)^$C$60:$G$60)+($G$59*(1+D$81)/($B85-D$81))/(1+$B85)^$G$60+$C$70+$C$71)/$C$73</f>
        <v>1122.8856014854173</v>
      </c>
      <c r="E85" s="125" cm="1">
        <f t="array" ref="E85">(SUMPRODUCT($C$59:$G$59,1/(1+$B85)^$C$60:$G$60)+($G$59*(1+E$81)/($B85-E$81))/(1+$B85)^$G$60+$C$70+$C$71)/$C$73</f>
        <v>1229.6516110627365</v>
      </c>
      <c r="F85" s="125" cm="1">
        <f t="array" ref="F85">(SUMPRODUCT($C$59:$G$59,1/(1+$B85)^$C$60:$G$60)+($G$59*(1+F$81)/($B85-F$81))/(1+$B85)^$G$60+$C$70+$C$71)/$C$73</f>
        <v>1363.9640123530414</v>
      </c>
      <c r="G85" s="125" cm="1">
        <f t="array" ref="G85">(SUMPRODUCT($C$59:$G$59,1/(1+$B85)^$C$60:$G$60)+($G$59*(1+G$81)/($B85-G$81))/(1+$B85)^$G$60+$C$70+$C$71)/$C$73</f>
        <v>1538.0625204382411</v>
      </c>
      <c r="H85" s="100"/>
    </row>
    <row r="86" spans="1:8" ht="15" customHeight="1" x14ac:dyDescent="0.3">
      <c r="A86" s="100"/>
      <c r="B86" s="126">
        <f>B85+0.005</f>
        <v>0.10875861880196379</v>
      </c>
      <c r="C86" s="125" cm="1">
        <f t="array" ref="C86">(SUMPRODUCT($C$59:$G$59,1/(1+$B86)^$C$60:$G$60)+($G$59*(1+C$81)/($B86-C$81))/(1+$B86)^$G$60+$C$70+$C$71)/$C$73</f>
        <v>950.1014374734475</v>
      </c>
      <c r="D86" s="125" cm="1">
        <f t="array" ref="D86">(SUMPRODUCT($C$59:$G$59,1/(1+$B86)^$C$60:$G$60)+($G$59*(1+D$81)/($B86-D$81))/(1+$B86)^$G$60+$C$70+$C$71)/$C$73</f>
        <v>1021.0850629870058</v>
      </c>
      <c r="E86" s="125" cm="1">
        <f t="array" ref="E86">(SUMPRODUCT($C$59:$G$59,1/(1+$B86)^$C$60:$G$60)+($G$59*(1+E$81)/($B86-E$81))/(1+$B86)^$G$60+$C$70+$C$71)/$C$73</f>
        <v>1106.6268583703593</v>
      </c>
      <c r="F86" s="125" cm="1">
        <f t="array" ref="F86">(SUMPRODUCT($C$59:$G$59,1/(1+$B86)^$C$60:$G$60)+($G$59*(1+F$81)/($B86-F$81))/(1+$B86)^$G$60+$C$70+$C$71)/$C$73</f>
        <v>1211.7172130376532</v>
      </c>
      <c r="G86" s="125" cm="1">
        <f t="array" ref="G86">(SUMPRODUCT($C$59:$G$59,1/(1+$B86)^$C$60:$G$60)+($G$59*(1+G$81)/($B86-G$81))/(1+$B86)^$G$60+$C$70+$C$71)/$C$73</f>
        <v>1343.921628503721</v>
      </c>
      <c r="H86" s="100"/>
    </row>
    <row r="87" spans="1:8" x14ac:dyDescent="0.3">
      <c r="A87" s="100"/>
      <c r="B87" s="101"/>
      <c r="C87" s="100"/>
      <c r="D87" s="100"/>
      <c r="E87" s="100"/>
      <c r="F87" s="100"/>
      <c r="G87" s="100"/>
      <c r="H87" s="100"/>
    </row>
    <row r="88" spans="1:8" ht="30" customHeight="1" x14ac:dyDescent="0.3">
      <c r="A88" s="100"/>
      <c r="B88" s="121" t="s">
        <v>291</v>
      </c>
      <c r="C88" s="371" t="s">
        <v>631</v>
      </c>
      <c r="D88" s="371"/>
      <c r="E88" s="371"/>
      <c r="F88" s="371"/>
      <c r="G88" s="371"/>
      <c r="H88" s="371"/>
    </row>
  </sheetData>
  <mergeCells count="2">
    <mergeCell ref="C78:H78"/>
    <mergeCell ref="C88:H88"/>
  </mergeCells>
  <pageMargins left="0.75" right="0.75" top="1" bottom="1" header="0.511811023622047" footer="0.511811023622047"/>
  <pageSetup paperSize="9" orientation="portrait" horizontalDpi="300" verticalDpi="300"/>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97E69-1F8F-4AF7-96AB-9EA63FBCF859}">
  <sheetPr>
    <tabColor rgb="FF1B2A63"/>
  </sheetPr>
  <dimension ref="B3:O11"/>
  <sheetViews>
    <sheetView showGridLines="0" workbookViewId="0">
      <selection activeCell="O9" sqref="O9"/>
    </sheetView>
  </sheetViews>
  <sheetFormatPr defaultRowHeight="14.4" x14ac:dyDescent="0.3"/>
  <cols>
    <col min="1" max="1" width="1.44140625" customWidth="1"/>
    <col min="2" max="2" width="12.33203125" bestFit="1" customWidth="1"/>
    <col min="3" max="3" width="14.6640625" bestFit="1" customWidth="1"/>
    <col min="4" max="4" width="8" bestFit="1" customWidth="1"/>
    <col min="5" max="5" width="13.44140625" bestFit="1" customWidth="1"/>
    <col min="6" max="6" width="7" bestFit="1" customWidth="1"/>
    <col min="7" max="7" width="12.88671875" bestFit="1" customWidth="1"/>
    <col min="8" max="8" width="16" bestFit="1" customWidth="1"/>
    <col min="9" max="9" width="14" bestFit="1" customWidth="1"/>
    <col min="10" max="10" width="15.109375" bestFit="1" customWidth="1"/>
    <col min="11" max="11" width="10.44140625" bestFit="1" customWidth="1"/>
    <col min="12" max="12" width="13.88671875" bestFit="1" customWidth="1"/>
    <col min="13" max="13" width="10.33203125" bestFit="1" customWidth="1"/>
    <col min="14" max="14" width="12" bestFit="1" customWidth="1"/>
  </cols>
  <sheetData>
    <row r="3" spans="2:15" s="2" customFormat="1" x14ac:dyDescent="0.3">
      <c r="B3" s="2" t="s">
        <v>98</v>
      </c>
      <c r="C3" s="2" t="s">
        <v>99</v>
      </c>
      <c r="D3" s="2" t="s">
        <v>100</v>
      </c>
      <c r="E3" s="2" t="s">
        <v>101</v>
      </c>
      <c r="F3" s="2" t="s">
        <v>102</v>
      </c>
      <c r="G3" s="2" t="s">
        <v>103</v>
      </c>
      <c r="H3" s="2" t="s">
        <v>104</v>
      </c>
      <c r="I3" s="2" t="s">
        <v>105</v>
      </c>
      <c r="J3" s="2" t="s">
        <v>106</v>
      </c>
      <c r="K3" s="2" t="s">
        <v>107</v>
      </c>
      <c r="L3" s="2" t="s">
        <v>108</v>
      </c>
      <c r="M3" s="2" t="s">
        <v>109</v>
      </c>
      <c r="N3" s="2" t="s">
        <v>110</v>
      </c>
      <c r="O3" s="2" t="s">
        <v>87</v>
      </c>
    </row>
    <row r="4" spans="2:15" s="27" customFormat="1" x14ac:dyDescent="0.3">
      <c r="B4" s="27">
        <v>1</v>
      </c>
      <c r="C4" s="27" t="s">
        <v>111</v>
      </c>
      <c r="D4" s="27">
        <v>2100.8000000000002</v>
      </c>
      <c r="E4" s="43">
        <v>493567.01</v>
      </c>
      <c r="F4" s="27">
        <v>44.76</v>
      </c>
      <c r="G4" s="27">
        <v>14971</v>
      </c>
      <c r="H4" s="27">
        <v>234.96</v>
      </c>
      <c r="I4" s="27">
        <v>3248</v>
      </c>
      <c r="J4" s="27">
        <v>15790</v>
      </c>
      <c r="K4" s="27">
        <v>66052</v>
      </c>
      <c r="L4" s="27">
        <v>11027.55</v>
      </c>
      <c r="M4" s="27">
        <v>1478</v>
      </c>
      <c r="N4" s="27">
        <v>235</v>
      </c>
      <c r="O4" s="27">
        <v>14457</v>
      </c>
    </row>
    <row r="5" spans="2:15" x14ac:dyDescent="0.3">
      <c r="B5">
        <v>2</v>
      </c>
      <c r="C5" t="s">
        <v>112</v>
      </c>
      <c r="D5">
        <v>280.95</v>
      </c>
      <c r="E5" s="23">
        <v>351768.6</v>
      </c>
      <c r="F5">
        <v>16.84</v>
      </c>
      <c r="G5">
        <v>21018.15</v>
      </c>
      <c r="H5">
        <v>1252.95</v>
      </c>
      <c r="I5">
        <v>3008.79</v>
      </c>
      <c r="J5">
        <v>30108.95</v>
      </c>
      <c r="K5">
        <v>78868.399999999994</v>
      </c>
      <c r="L5">
        <v>20895.43</v>
      </c>
      <c r="M5">
        <v>2399.06</v>
      </c>
      <c r="N5">
        <v>1252.95</v>
      </c>
      <c r="O5">
        <v>28398.42</v>
      </c>
    </row>
    <row r="6" spans="2:15" x14ac:dyDescent="0.3">
      <c r="B6">
        <v>3</v>
      </c>
      <c r="C6" t="s">
        <v>142</v>
      </c>
      <c r="D6">
        <v>1509.6</v>
      </c>
      <c r="E6">
        <v>291136.62</v>
      </c>
      <c r="F6">
        <v>77.540000000000006</v>
      </c>
      <c r="G6">
        <v>3860.49</v>
      </c>
      <c r="H6">
        <v>192.83</v>
      </c>
      <c r="I6">
        <v>1340.87</v>
      </c>
      <c r="J6">
        <v>5342.42</v>
      </c>
      <c r="K6">
        <v>24436.62</v>
      </c>
      <c r="L6">
        <v>3754.89</v>
      </c>
      <c r="M6">
        <v>444.16</v>
      </c>
      <c r="N6">
        <v>192.83</v>
      </c>
      <c r="O6">
        <v>4643.1899999999996</v>
      </c>
    </row>
    <row r="7" spans="2:15" x14ac:dyDescent="0.3">
      <c r="B7">
        <v>4</v>
      </c>
      <c r="C7" t="s">
        <v>139</v>
      </c>
      <c r="D7">
        <v>1070.4000000000001</v>
      </c>
      <c r="E7" s="23">
        <v>109524.34</v>
      </c>
      <c r="F7">
        <v>55.26</v>
      </c>
      <c r="G7">
        <v>1861.47</v>
      </c>
      <c r="H7">
        <v>102.33</v>
      </c>
      <c r="I7">
        <v>1005.41</v>
      </c>
      <c r="J7">
        <v>3368.97</v>
      </c>
      <c r="K7">
        <v>15177.9</v>
      </c>
      <c r="L7">
        <v>1981.93</v>
      </c>
      <c r="M7">
        <v>4420.5200000000004</v>
      </c>
      <c r="N7">
        <v>102.32</v>
      </c>
      <c r="O7">
        <v>3101.44</v>
      </c>
    </row>
    <row r="8" spans="2:15" x14ac:dyDescent="0.3">
      <c r="B8">
        <v>5</v>
      </c>
      <c r="C8" t="s">
        <v>140</v>
      </c>
      <c r="D8">
        <v>870.65</v>
      </c>
      <c r="E8" s="23">
        <v>112783.97</v>
      </c>
      <c r="F8">
        <v>64.36</v>
      </c>
      <c r="G8">
        <v>1813</v>
      </c>
      <c r="H8">
        <v>129.84</v>
      </c>
      <c r="I8">
        <v>493</v>
      </c>
      <c r="J8">
        <v>2524</v>
      </c>
      <c r="K8">
        <v>13611</v>
      </c>
      <c r="L8">
        <v>1752.37</v>
      </c>
      <c r="M8">
        <v>557</v>
      </c>
      <c r="N8">
        <v>130</v>
      </c>
      <c r="O8">
        <v>2322</v>
      </c>
    </row>
    <row r="9" spans="2:15" x14ac:dyDescent="0.3">
      <c r="E9" s="23"/>
    </row>
    <row r="10" spans="2:15" x14ac:dyDescent="0.3">
      <c r="E10" s="23"/>
    </row>
    <row r="11" spans="2:15" x14ac:dyDescent="0.3">
      <c r="B11" t="s">
        <v>142</v>
      </c>
      <c r="C11">
        <v>1509.6</v>
      </c>
      <c r="D11">
        <v>291136.62</v>
      </c>
      <c r="E11">
        <v>77.540000000000006</v>
      </c>
      <c r="F11">
        <v>3860.49</v>
      </c>
      <c r="G11">
        <v>192.83</v>
      </c>
      <c r="H11">
        <v>1340.87</v>
      </c>
      <c r="I11">
        <v>5342.42</v>
      </c>
      <c r="J11">
        <v>24436.62</v>
      </c>
      <c r="K11">
        <v>3754.89</v>
      </c>
      <c r="L11">
        <v>444.16</v>
      </c>
      <c r="M11">
        <v>192.83</v>
      </c>
      <c r="N11">
        <v>4643.1899999999996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66861-150C-4B9E-A3E8-86D9EF11CCF8}">
  <sheetPr>
    <tabColor rgb="FF1B2A63"/>
  </sheetPr>
  <dimension ref="B2:Z27"/>
  <sheetViews>
    <sheetView showGridLines="0" topLeftCell="J3" zoomScale="89" workbookViewId="0">
      <selection activeCell="F29" sqref="F29"/>
    </sheetView>
  </sheetViews>
  <sheetFormatPr defaultRowHeight="14.4" x14ac:dyDescent="0.3"/>
  <cols>
    <col min="1" max="1" width="2.88671875" customWidth="1"/>
    <col min="2" max="2" width="33.6640625" bestFit="1" customWidth="1"/>
    <col min="3" max="3" width="6" bestFit="1" customWidth="1"/>
    <col min="4" max="4" width="10.6640625" customWidth="1"/>
    <col min="5" max="5" width="15" customWidth="1"/>
    <col min="6" max="6" width="14" customWidth="1"/>
    <col min="7" max="7" width="12.88671875" customWidth="1"/>
    <col min="8" max="8" width="13.44140625" customWidth="1"/>
    <col min="10" max="11" width="11.6640625" customWidth="1"/>
    <col min="12" max="13" width="11.5546875" customWidth="1"/>
    <col min="14" max="14" width="11.6640625" customWidth="1"/>
    <col min="15" max="15" width="12.33203125" customWidth="1"/>
    <col min="16" max="16" width="13.6640625" customWidth="1"/>
    <col min="17" max="17" width="12.88671875" customWidth="1"/>
    <col min="18" max="18" width="9.6640625" customWidth="1"/>
    <col min="19" max="19" width="13.44140625" customWidth="1"/>
    <col min="20" max="20" width="13.6640625" customWidth="1"/>
    <col min="21" max="21" width="14" customWidth="1"/>
    <col min="22" max="22" width="15.109375" customWidth="1"/>
    <col min="23" max="23" width="13.5546875" customWidth="1"/>
    <col min="24" max="24" width="14.6640625" customWidth="1"/>
    <col min="25" max="25" width="14" customWidth="1"/>
    <col min="26" max="26" width="15.6640625" customWidth="1"/>
  </cols>
  <sheetData>
    <row r="2" spans="2:26" x14ac:dyDescent="0.3">
      <c r="B2" s="28" t="s">
        <v>113</v>
      </c>
      <c r="C2" s="28"/>
      <c r="D2" s="28"/>
      <c r="E2" s="28"/>
      <c r="F2" s="29"/>
      <c r="G2" s="29"/>
      <c r="H2" s="29"/>
      <c r="I2" s="29"/>
      <c r="J2" s="29"/>
    </row>
    <row r="4" spans="2:26" x14ac:dyDescent="0.3">
      <c r="B4" s="30" t="s">
        <v>81</v>
      </c>
      <c r="C4" s="30"/>
      <c r="D4" s="325" t="s">
        <v>114</v>
      </c>
      <c r="E4" s="325"/>
      <c r="F4" s="325"/>
      <c r="G4" s="325"/>
      <c r="H4" s="325"/>
      <c r="I4" s="30"/>
      <c r="J4" s="325" t="s">
        <v>115</v>
      </c>
      <c r="K4" s="325"/>
      <c r="L4" s="325"/>
      <c r="M4" s="325"/>
      <c r="N4" s="325"/>
      <c r="O4" s="325"/>
      <c r="P4" s="325"/>
      <c r="Q4" s="98"/>
      <c r="R4" s="30"/>
      <c r="S4" s="325" t="s">
        <v>116</v>
      </c>
      <c r="T4" s="325"/>
      <c r="U4" s="325"/>
      <c r="V4" s="325"/>
      <c r="W4" s="325"/>
      <c r="X4" s="325"/>
      <c r="Y4" s="325"/>
      <c r="Z4" s="325"/>
    </row>
    <row r="5" spans="2:26" ht="28.8" x14ac:dyDescent="0.3">
      <c r="B5" s="31" t="s">
        <v>117</v>
      </c>
      <c r="C5" s="31" t="s">
        <v>118</v>
      </c>
      <c r="D5" s="32" t="s">
        <v>119</v>
      </c>
      <c r="E5" s="33" t="s">
        <v>120</v>
      </c>
      <c r="F5" s="33" t="s">
        <v>121</v>
      </c>
      <c r="G5" s="33" t="s">
        <v>122</v>
      </c>
      <c r="H5" s="33" t="s">
        <v>123</v>
      </c>
      <c r="I5" s="31"/>
      <c r="J5" s="326" t="s">
        <v>89</v>
      </c>
      <c r="K5" s="326"/>
      <c r="L5" s="326" t="s">
        <v>124</v>
      </c>
      <c r="M5" s="326"/>
      <c r="N5" s="326" t="s">
        <v>87</v>
      </c>
      <c r="O5" s="326"/>
      <c r="P5" s="327" t="s">
        <v>125</v>
      </c>
      <c r="Q5" s="327"/>
      <c r="R5" s="31"/>
      <c r="S5" s="326" t="s">
        <v>126</v>
      </c>
      <c r="T5" s="326"/>
      <c r="U5" s="326" t="s">
        <v>127</v>
      </c>
      <c r="V5" s="326"/>
      <c r="W5" s="326" t="s">
        <v>141</v>
      </c>
      <c r="X5" s="326"/>
      <c r="Y5" s="326" t="s">
        <v>102</v>
      </c>
      <c r="Z5" s="326"/>
    </row>
    <row r="6" spans="2:26" s="2" customFormat="1" x14ac:dyDescent="0.3">
      <c r="J6" s="65" t="s">
        <v>605</v>
      </c>
      <c r="K6" s="65" t="s">
        <v>606</v>
      </c>
      <c r="L6" s="65" t="s">
        <v>605</v>
      </c>
      <c r="M6" s="65" t="s">
        <v>606</v>
      </c>
      <c r="N6" s="65" t="s">
        <v>605</v>
      </c>
      <c r="O6" s="65" t="s">
        <v>606</v>
      </c>
      <c r="P6" s="65" t="s">
        <v>605</v>
      </c>
      <c r="Q6" s="65" t="s">
        <v>606</v>
      </c>
      <c r="R6" s="65"/>
      <c r="S6" s="65" t="s">
        <v>605</v>
      </c>
      <c r="T6" s="65" t="s">
        <v>606</v>
      </c>
      <c r="U6" s="65" t="s">
        <v>605</v>
      </c>
      <c r="V6" s="65" t="s">
        <v>606</v>
      </c>
      <c r="W6" s="65" t="s">
        <v>605</v>
      </c>
      <c r="X6" s="65" t="s">
        <v>606</v>
      </c>
      <c r="Y6" s="65" t="s">
        <v>605</v>
      </c>
      <c r="Z6" s="65" t="s">
        <v>606</v>
      </c>
    </row>
    <row r="7" spans="2:26" x14ac:dyDescent="0.3">
      <c r="B7" s="34" t="s">
        <v>111</v>
      </c>
      <c r="C7" s="34"/>
      <c r="D7" s="36">
        <f>'Data for Relative Valuation'!D4</f>
        <v>2100.8000000000002</v>
      </c>
      <c r="E7" s="35">
        <f>'Data for Relative Valuation'!H4</f>
        <v>234.96</v>
      </c>
      <c r="F7" s="36">
        <f>D7*E7</f>
        <v>493603.96800000005</v>
      </c>
      <c r="G7" s="36">
        <f>'Data for Relative Valuation'!M4-'Data for Relative Valuation'!I4</f>
        <v>-1770</v>
      </c>
      <c r="H7" s="36">
        <f>SUM(F7,G7)</f>
        <v>491833.96800000005</v>
      </c>
      <c r="I7" s="36"/>
      <c r="J7" s="36">
        <f>'Data for Relative Valuation'!K4</f>
        <v>66052</v>
      </c>
      <c r="K7" s="252">
        <v>69625.440000000002</v>
      </c>
      <c r="L7" s="36">
        <f>'Data for Relative Valuation'!J4</f>
        <v>15790</v>
      </c>
      <c r="M7" s="257">
        <v>17824.11</v>
      </c>
      <c r="N7" s="36">
        <f>'Data for Relative Valuation'!O4</f>
        <v>14457</v>
      </c>
      <c r="O7" s="257">
        <v>16361.98</v>
      </c>
      <c r="P7" s="36">
        <f>'Data for Relative Valuation'!L4</f>
        <v>11027.55</v>
      </c>
      <c r="Q7" s="257">
        <v>12107.86</v>
      </c>
      <c r="R7" s="36"/>
      <c r="S7" s="37">
        <f>$H7/J7</f>
        <v>7.4461631441894269</v>
      </c>
      <c r="T7" s="37">
        <f t="shared" ref="T7:T11" si="0">$H7/K7</f>
        <v>7.0639979869427041</v>
      </c>
      <c r="U7" s="37">
        <f>$H7/L7</f>
        <v>31.14844635845472</v>
      </c>
      <c r="V7" s="37">
        <f t="shared" ref="V7:V11" si="1">$H7/M7</f>
        <v>27.593746223514106</v>
      </c>
      <c r="W7" s="37">
        <f>$H7/N7</f>
        <v>34.020472297157092</v>
      </c>
      <c r="X7" s="37">
        <f t="shared" ref="X7:X11" si="2">$H7/O7</f>
        <v>30.059562962428757</v>
      </c>
      <c r="Y7" s="37">
        <f>$F7/P7</f>
        <v>44.760982085776085</v>
      </c>
      <c r="Z7" s="37">
        <f t="shared" ref="Z7:Z11" si="3">$F7/Q7</f>
        <v>40.767234507171374</v>
      </c>
    </row>
    <row r="8" spans="2:26" x14ac:dyDescent="0.3">
      <c r="B8" t="s">
        <v>112</v>
      </c>
      <c r="D8" s="38">
        <f>'Data for Relative Valuation'!D5</f>
        <v>280.95</v>
      </c>
      <c r="E8" s="23">
        <f>'Data for Relative Valuation'!H5</f>
        <v>1252.95</v>
      </c>
      <c r="F8" s="38">
        <f t="shared" ref="F8:F11" si="4">D8*E8</f>
        <v>352016.30249999999</v>
      </c>
      <c r="G8" s="38">
        <f>'Data for Relative Valuation'!M5-'Data for Relative Valuation'!I5</f>
        <v>-609.73</v>
      </c>
      <c r="H8" s="38">
        <f t="shared" ref="H8:H11" si="5">SUM(F8,G8)</f>
        <v>351406.57250000001</v>
      </c>
      <c r="I8" s="38"/>
      <c r="J8" s="38">
        <f>'Data for Relative Valuation'!K5</f>
        <v>78868.399999999994</v>
      </c>
      <c r="K8" s="251">
        <v>80761.5</v>
      </c>
      <c r="L8" s="38">
        <f>'Data for Relative Valuation'!J5</f>
        <v>30108.95</v>
      </c>
      <c r="M8" s="258">
        <v>26947.5</v>
      </c>
      <c r="N8" s="38">
        <f>'Data for Relative Valuation'!O5</f>
        <v>28398.42</v>
      </c>
      <c r="O8" s="258">
        <v>25416.6</v>
      </c>
      <c r="P8" s="38">
        <f>'Data for Relative Valuation'!L5</f>
        <v>20895.43</v>
      </c>
      <c r="Q8" s="258">
        <v>18701.400000000001</v>
      </c>
      <c r="R8" s="39"/>
      <c r="S8" s="40">
        <f t="shared" ref="S8:S11" si="6">$H8/J8</f>
        <v>4.4556067132083319</v>
      </c>
      <c r="T8" s="40">
        <f t="shared" si="0"/>
        <v>4.3511645090792026</v>
      </c>
      <c r="U8" s="40">
        <f t="shared" ref="U8:U11" si="7">$H8/L8</f>
        <v>11.671166629855907</v>
      </c>
      <c r="V8" s="40">
        <f t="shared" si="1"/>
        <v>13.040414602467761</v>
      </c>
      <c r="W8" s="40">
        <f t="shared" ref="W8:W11" si="8">$H8/N8</f>
        <v>12.3741592842137</v>
      </c>
      <c r="X8" s="40">
        <f t="shared" si="2"/>
        <v>13.825868625229182</v>
      </c>
      <c r="Y8" s="40">
        <f t="shared" ref="Y8:Y11" si="9">$F8/P8</f>
        <v>16.846568962687055</v>
      </c>
      <c r="Z8" s="40">
        <f t="shared" si="3"/>
        <v>18.822991995251691</v>
      </c>
    </row>
    <row r="9" spans="2:26" x14ac:dyDescent="0.3">
      <c r="B9" t="s">
        <v>142</v>
      </c>
      <c r="D9" s="38">
        <f>'Data for Relative Valuation'!D6</f>
        <v>1509.6</v>
      </c>
      <c r="E9" s="23">
        <f>'Data for Relative Valuation'!H6</f>
        <v>192.83</v>
      </c>
      <c r="F9" s="38">
        <f t="shared" si="4"/>
        <v>291096.16800000001</v>
      </c>
      <c r="G9" s="38">
        <f>'Data for Relative Valuation'!M6-'Data for Relative Valuation'!I6</f>
        <v>-896.70999999999981</v>
      </c>
      <c r="H9" s="38">
        <f t="shared" si="5"/>
        <v>290199.45799999998</v>
      </c>
      <c r="I9" s="38"/>
      <c r="J9" s="38">
        <f>'Data for Relative Valuation'!K6</f>
        <v>24436.62</v>
      </c>
      <c r="K9" s="251">
        <v>27857.8</v>
      </c>
      <c r="L9" s="38">
        <f>'Data for Relative Valuation'!J6</f>
        <v>5342.42</v>
      </c>
      <c r="M9" s="258">
        <v>6304.1</v>
      </c>
      <c r="N9" s="38">
        <f>'Data for Relative Valuation'!O6</f>
        <v>4643.1899999999996</v>
      </c>
      <c r="O9" s="258">
        <v>5478.9</v>
      </c>
      <c r="P9" s="38">
        <f>'Data for Relative Valuation'!L6</f>
        <v>3754.89</v>
      </c>
      <c r="Q9" s="258">
        <v>4528.3999999999996</v>
      </c>
      <c r="R9" s="39"/>
      <c r="S9" s="40">
        <f t="shared" si="6"/>
        <v>11.875597279820203</v>
      </c>
      <c r="T9" s="40">
        <f t="shared" si="0"/>
        <v>10.417170702639835</v>
      </c>
      <c r="U9" s="40">
        <f t="shared" si="7"/>
        <v>54.319850928979747</v>
      </c>
      <c r="V9" s="40">
        <f t="shared" si="1"/>
        <v>46.033447756222138</v>
      </c>
      <c r="W9" s="40">
        <f t="shared" si="8"/>
        <v>62.500017875641532</v>
      </c>
      <c r="X9" s="40">
        <f t="shared" si="2"/>
        <v>52.966737483801495</v>
      </c>
      <c r="Y9" s="40">
        <f t="shared" si="9"/>
        <v>77.524552783170748</v>
      </c>
      <c r="Z9" s="40">
        <f t="shared" si="3"/>
        <v>64.282344315873161</v>
      </c>
    </row>
    <row r="10" spans="2:26" x14ac:dyDescent="0.3">
      <c r="B10" t="s">
        <v>139</v>
      </c>
      <c r="D10" s="38">
        <f>'Data for Relative Valuation'!D7</f>
        <v>1070.4000000000001</v>
      </c>
      <c r="E10" s="23">
        <f>'Data for Relative Valuation'!H7</f>
        <v>102.33</v>
      </c>
      <c r="F10" s="38">
        <f t="shared" si="4"/>
        <v>109534.03200000001</v>
      </c>
      <c r="G10" s="38">
        <f>'Data for Relative Valuation'!M7-'Data for Relative Valuation'!I7</f>
        <v>3415.1100000000006</v>
      </c>
      <c r="H10" s="38">
        <f t="shared" si="5"/>
        <v>112949.14200000001</v>
      </c>
      <c r="I10" s="38"/>
      <c r="J10" s="38">
        <f>'Data for Relative Valuation'!K7</f>
        <v>15177.9</v>
      </c>
      <c r="K10" s="251">
        <v>17909.900000000001</v>
      </c>
      <c r="L10" s="38">
        <f>'Data for Relative Valuation'!J7</f>
        <v>3368.97</v>
      </c>
      <c r="M10" s="258">
        <v>3840.6</v>
      </c>
      <c r="N10" s="38">
        <f>'Data for Relative Valuation'!O7</f>
        <v>3101.44</v>
      </c>
      <c r="O10" s="258">
        <v>3535.6</v>
      </c>
      <c r="P10" s="38">
        <f>'Data for Relative Valuation'!L7</f>
        <v>1981.93</v>
      </c>
      <c r="Q10" s="258">
        <v>2209.8000000000002</v>
      </c>
      <c r="R10" s="39"/>
      <c r="S10" s="40">
        <f t="shared" si="6"/>
        <v>7.4416844227462304</v>
      </c>
      <c r="T10" s="40">
        <f t="shared" si="0"/>
        <v>6.3065199694023972</v>
      </c>
      <c r="U10" s="40">
        <f t="shared" si="7"/>
        <v>33.526312789962518</v>
      </c>
      <c r="V10" s="40">
        <f t="shared" si="1"/>
        <v>29.409243868145605</v>
      </c>
      <c r="W10" s="40">
        <f t="shared" si="8"/>
        <v>36.41829021357821</v>
      </c>
      <c r="X10" s="40">
        <f t="shared" si="2"/>
        <v>31.946244484670213</v>
      </c>
      <c r="Y10" s="40">
        <f t="shared" si="9"/>
        <v>55.266347449203558</v>
      </c>
      <c r="Z10" s="40">
        <f t="shared" si="3"/>
        <v>49.567396144447457</v>
      </c>
    </row>
    <row r="11" spans="2:26" x14ac:dyDescent="0.3">
      <c r="B11" t="s">
        <v>140</v>
      </c>
      <c r="D11" s="38">
        <f>'Data for Relative Valuation'!D8</f>
        <v>870.65</v>
      </c>
      <c r="E11" s="23">
        <f>'Data for Relative Valuation'!H8</f>
        <v>129.84</v>
      </c>
      <c r="F11" s="38">
        <f t="shared" si="4"/>
        <v>113045.196</v>
      </c>
      <c r="G11" s="38">
        <f>'Data for Relative Valuation'!M8-'Data for Relative Valuation'!I8</f>
        <v>64</v>
      </c>
      <c r="H11" s="38">
        <f t="shared" si="5"/>
        <v>113109.196</v>
      </c>
      <c r="I11" s="38"/>
      <c r="J11" s="38">
        <f>'Data for Relative Valuation'!K8</f>
        <v>13611</v>
      </c>
      <c r="K11" s="251">
        <v>15000</v>
      </c>
      <c r="L11" s="38">
        <f>'Data for Relative Valuation'!J8</f>
        <v>2524</v>
      </c>
      <c r="M11" s="258">
        <v>2978.3</v>
      </c>
      <c r="N11" s="38">
        <f>'Data for Relative Valuation'!O8</f>
        <v>2322</v>
      </c>
      <c r="O11" s="258">
        <v>2740</v>
      </c>
      <c r="P11" s="38">
        <f>'Data for Relative Valuation'!L8</f>
        <v>1752.37</v>
      </c>
      <c r="Q11" s="258">
        <v>2137.9</v>
      </c>
      <c r="R11" s="39"/>
      <c r="S11" s="40">
        <f t="shared" si="6"/>
        <v>8.3101312173976929</v>
      </c>
      <c r="T11" s="40">
        <f t="shared" si="0"/>
        <v>7.5406130666666664</v>
      </c>
      <c r="U11" s="40">
        <f t="shared" si="7"/>
        <v>44.813469096671945</v>
      </c>
      <c r="V11" s="40">
        <f t="shared" si="1"/>
        <v>37.977771211765095</v>
      </c>
      <c r="W11" s="40">
        <f t="shared" si="8"/>
        <v>48.711970714900943</v>
      </c>
      <c r="X11" s="40">
        <f t="shared" si="2"/>
        <v>41.280728467153281</v>
      </c>
      <c r="Y11" s="40">
        <f t="shared" si="9"/>
        <v>64.509890034638801</v>
      </c>
      <c r="Z11" s="40">
        <f t="shared" si="3"/>
        <v>52.876746339866223</v>
      </c>
    </row>
    <row r="12" spans="2:26" x14ac:dyDescent="0.3">
      <c r="B12" t="s">
        <v>81</v>
      </c>
      <c r="D12" t="s">
        <v>81</v>
      </c>
      <c r="E12" t="s">
        <v>81</v>
      </c>
      <c r="F12" t="s">
        <v>81</v>
      </c>
    </row>
    <row r="13" spans="2:26" x14ac:dyDescent="0.3">
      <c r="B13" s="260" t="s">
        <v>128</v>
      </c>
      <c r="C13" s="260"/>
      <c r="D13" s="260"/>
      <c r="E13" s="260"/>
      <c r="F13" s="260"/>
      <c r="G13" s="260"/>
      <c r="H13" s="260"/>
      <c r="I13" s="260"/>
      <c r="J13" s="260"/>
      <c r="K13" s="260"/>
      <c r="L13" s="260"/>
      <c r="M13" s="260"/>
      <c r="N13" s="260"/>
      <c r="O13" s="260"/>
      <c r="P13" s="260"/>
      <c r="Q13" s="260"/>
      <c r="R13" s="260"/>
      <c r="S13" s="261">
        <f>MAX(S8:S11)</f>
        <v>11.875597279820203</v>
      </c>
      <c r="T13" s="261">
        <f t="shared" ref="T13:Z13" si="10">MAX(T8:T11)</f>
        <v>10.417170702639835</v>
      </c>
      <c r="U13" s="261">
        <f t="shared" si="10"/>
        <v>54.319850928979747</v>
      </c>
      <c r="V13" s="261">
        <f t="shared" si="10"/>
        <v>46.033447756222138</v>
      </c>
      <c r="W13" s="261">
        <f t="shared" si="10"/>
        <v>62.500017875641532</v>
      </c>
      <c r="X13" s="261">
        <f t="shared" si="10"/>
        <v>52.966737483801495</v>
      </c>
      <c r="Y13" s="261">
        <f t="shared" si="10"/>
        <v>77.524552783170748</v>
      </c>
      <c r="Z13" s="261">
        <f t="shared" si="10"/>
        <v>64.282344315873161</v>
      </c>
    </row>
    <row r="14" spans="2:26" x14ac:dyDescent="0.3">
      <c r="B14" s="260" t="s">
        <v>129</v>
      </c>
      <c r="C14" s="260"/>
      <c r="D14" s="260"/>
      <c r="E14" s="260"/>
      <c r="F14" s="260"/>
      <c r="G14" s="260"/>
      <c r="H14" s="260"/>
      <c r="I14" s="260"/>
      <c r="J14" s="260"/>
      <c r="K14" s="260"/>
      <c r="L14" s="260"/>
      <c r="M14" s="260"/>
      <c r="N14" s="260"/>
      <c r="O14" s="260"/>
      <c r="P14" s="260"/>
      <c r="Q14" s="260"/>
      <c r="R14" s="260"/>
      <c r="S14" s="261">
        <f>_xlfn.QUARTILE.INC(S8:S11,3)</f>
        <v>9.2014977330033201</v>
      </c>
      <c r="T14" s="261">
        <f t="shared" ref="T14:Z14" si="11">_xlfn.QUARTILE.INC(T8:T11,3)</f>
        <v>8.2597524756599583</v>
      </c>
      <c r="U14" s="261">
        <f t="shared" si="11"/>
        <v>47.190064554748893</v>
      </c>
      <c r="V14" s="261">
        <f t="shared" si="11"/>
        <v>39.991690347879356</v>
      </c>
      <c r="W14" s="261">
        <f t="shared" si="11"/>
        <v>52.158982505086087</v>
      </c>
      <c r="X14" s="261">
        <f t="shared" si="11"/>
        <v>44.202230721315331</v>
      </c>
      <c r="Y14" s="261">
        <f t="shared" si="11"/>
        <v>67.76355572177178</v>
      </c>
      <c r="Z14" s="261">
        <f t="shared" si="11"/>
        <v>55.728145833867956</v>
      </c>
    </row>
    <row r="15" spans="2:26" x14ac:dyDescent="0.3">
      <c r="B15" s="236" t="s">
        <v>130</v>
      </c>
      <c r="C15" s="260"/>
      <c r="D15" s="260"/>
      <c r="E15" s="260"/>
      <c r="F15" s="260"/>
      <c r="G15" s="260"/>
      <c r="H15" s="260"/>
      <c r="I15" s="260"/>
      <c r="J15" s="260"/>
      <c r="K15" s="260"/>
      <c r="L15" s="260"/>
      <c r="M15" s="260"/>
      <c r="N15" s="260"/>
      <c r="O15" s="260"/>
      <c r="P15" s="260"/>
      <c r="Q15" s="260"/>
      <c r="R15" s="260"/>
      <c r="S15" s="262">
        <f>AVERAGE(S8:S11)</f>
        <v>8.0207549082931138</v>
      </c>
      <c r="T15" s="262">
        <f t="shared" ref="T15:Z15" si="12">AVERAGE(T8:T11)</f>
        <v>7.1538670619470253</v>
      </c>
      <c r="U15" s="262">
        <f t="shared" si="12"/>
        <v>36.08269986136753</v>
      </c>
      <c r="V15" s="262">
        <f t="shared" si="12"/>
        <v>31.615219359650148</v>
      </c>
      <c r="W15" s="262">
        <f t="shared" si="12"/>
        <v>40.001109522083595</v>
      </c>
      <c r="X15" s="262">
        <f t="shared" si="12"/>
        <v>35.004894765213542</v>
      </c>
      <c r="Y15" s="262">
        <f t="shared" si="12"/>
        <v>53.536839807425039</v>
      </c>
      <c r="Z15" s="262">
        <f t="shared" si="12"/>
        <v>46.387369698859636</v>
      </c>
    </row>
    <row r="16" spans="2:26" x14ac:dyDescent="0.3">
      <c r="B16" s="236" t="s">
        <v>131</v>
      </c>
      <c r="C16" s="260"/>
      <c r="D16" s="260"/>
      <c r="E16" s="260"/>
      <c r="F16" s="260"/>
      <c r="G16" s="260"/>
      <c r="H16" s="260"/>
      <c r="I16" s="260"/>
      <c r="J16" s="260"/>
      <c r="K16" s="260"/>
      <c r="L16" s="260"/>
      <c r="M16" s="260"/>
      <c r="N16" s="260"/>
      <c r="O16" s="260"/>
      <c r="P16" s="260"/>
      <c r="Q16" s="260"/>
      <c r="R16" s="260"/>
      <c r="S16" s="262">
        <f>MEDIAN(S8:S11)</f>
        <v>7.8759078200719621</v>
      </c>
      <c r="T16" s="262">
        <f t="shared" ref="T16:Z16" si="13">MEDIAN(T8:T11)</f>
        <v>6.9235665180345318</v>
      </c>
      <c r="U16" s="262">
        <f t="shared" si="13"/>
        <v>39.169890943317228</v>
      </c>
      <c r="V16" s="262">
        <f t="shared" si="13"/>
        <v>33.693507539955348</v>
      </c>
      <c r="W16" s="262">
        <f t="shared" si="13"/>
        <v>42.565130464239573</v>
      </c>
      <c r="X16" s="262">
        <f t="shared" si="13"/>
        <v>36.613486475911749</v>
      </c>
      <c r="Y16" s="262">
        <f t="shared" si="13"/>
        <v>59.888118741921176</v>
      </c>
      <c r="Z16" s="262">
        <f t="shared" si="13"/>
        <v>51.222071242156844</v>
      </c>
    </row>
    <row r="17" spans="2:26" x14ac:dyDescent="0.3">
      <c r="B17" s="260" t="s">
        <v>132</v>
      </c>
      <c r="C17" s="260"/>
      <c r="D17" s="260"/>
      <c r="E17" s="260"/>
      <c r="F17" s="260"/>
      <c r="G17" s="260"/>
      <c r="H17" s="260"/>
      <c r="I17" s="260"/>
      <c r="J17" s="260"/>
      <c r="K17" s="260"/>
      <c r="L17" s="260"/>
      <c r="M17" s="260"/>
      <c r="N17" s="260"/>
      <c r="O17" s="260"/>
      <c r="P17" s="260"/>
      <c r="Q17" s="260"/>
      <c r="R17" s="260"/>
      <c r="S17" s="261">
        <f>_xlfn.QUARTILE.INC(S8:S11,1)</f>
        <v>6.6951649953617558</v>
      </c>
      <c r="T17" s="261">
        <f t="shared" ref="T17:Z17" si="14">_xlfn.QUARTILE.INC(T8:T11,1)</f>
        <v>5.8176811043215988</v>
      </c>
      <c r="U17" s="261">
        <f t="shared" si="14"/>
        <v>28.062526249935864</v>
      </c>
      <c r="V17" s="261">
        <f t="shared" si="14"/>
        <v>25.317036551726147</v>
      </c>
      <c r="W17" s="261">
        <f t="shared" si="14"/>
        <v>30.407257481237082</v>
      </c>
      <c r="X17" s="261">
        <f t="shared" si="14"/>
        <v>27.416150519809957</v>
      </c>
      <c r="Y17" s="261">
        <f t="shared" si="14"/>
        <v>45.661402827574435</v>
      </c>
      <c r="Z17" s="261">
        <f t="shared" si="14"/>
        <v>41.881295107148517</v>
      </c>
    </row>
    <row r="18" spans="2:26" x14ac:dyDescent="0.3">
      <c r="B18" s="260" t="s">
        <v>133</v>
      </c>
      <c r="C18" s="260"/>
      <c r="D18" s="260"/>
      <c r="E18" s="260"/>
      <c r="F18" s="260"/>
      <c r="G18" s="260"/>
      <c r="H18" s="260"/>
      <c r="I18" s="260"/>
      <c r="J18" s="260"/>
      <c r="K18" s="260"/>
      <c r="L18" s="260"/>
      <c r="M18" s="260"/>
      <c r="N18" s="260"/>
      <c r="O18" s="260"/>
      <c r="P18" s="260"/>
      <c r="Q18" s="260"/>
      <c r="R18" s="260"/>
      <c r="S18" s="261">
        <f>MIN(S8:S11)</f>
        <v>4.4556067132083319</v>
      </c>
      <c r="T18" s="261">
        <f t="shared" ref="T18:Z18" si="15">MIN(T8:T11)</f>
        <v>4.3511645090792026</v>
      </c>
      <c r="U18" s="261">
        <f t="shared" si="15"/>
        <v>11.671166629855907</v>
      </c>
      <c r="V18" s="261">
        <f t="shared" si="15"/>
        <v>13.040414602467761</v>
      </c>
      <c r="W18" s="261">
        <f t="shared" si="15"/>
        <v>12.3741592842137</v>
      </c>
      <c r="X18" s="261">
        <f t="shared" si="15"/>
        <v>13.825868625229182</v>
      </c>
      <c r="Y18" s="261">
        <f t="shared" si="15"/>
        <v>16.846568962687055</v>
      </c>
      <c r="Z18" s="261">
        <f t="shared" si="15"/>
        <v>18.822991995251691</v>
      </c>
    </row>
    <row r="20" spans="2:26" x14ac:dyDescent="0.3">
      <c r="B20" s="41" t="s">
        <v>134</v>
      </c>
      <c r="C20" s="42"/>
      <c r="D20" s="42"/>
      <c r="E20" s="42"/>
      <c r="F20" s="42"/>
      <c r="G20" s="42"/>
      <c r="H20" s="42"/>
      <c r="I20" s="42"/>
      <c r="J20" s="42"/>
      <c r="K20" s="42"/>
      <c r="L20" s="42"/>
      <c r="M20" s="42"/>
      <c r="N20" s="42"/>
      <c r="O20" s="42"/>
      <c r="P20" s="42"/>
      <c r="Q20" s="42"/>
      <c r="R20" s="42"/>
      <c r="S20" s="324" t="str">
        <f>S5</f>
        <v>EV/Revenue</v>
      </c>
      <c r="T20" s="324"/>
      <c r="U20" s="324" t="str">
        <f>U5</f>
        <v>EV/EBITDA</v>
      </c>
      <c r="V20" s="324"/>
      <c r="W20" s="324" t="s">
        <v>141</v>
      </c>
      <c r="X20" s="324"/>
      <c r="Y20" s="324" t="str">
        <f>Y5</f>
        <v>P/E</v>
      </c>
      <c r="Z20" s="324"/>
    </row>
    <row r="21" spans="2:26" x14ac:dyDescent="0.3">
      <c r="B21" s="41"/>
      <c r="C21" s="42"/>
      <c r="D21" s="42"/>
      <c r="E21" s="42"/>
      <c r="F21" s="42"/>
      <c r="G21" s="42"/>
      <c r="H21" s="42"/>
      <c r="I21" s="42"/>
      <c r="J21" s="42"/>
      <c r="K21" s="42"/>
      <c r="L21" s="42"/>
      <c r="M21" s="42"/>
      <c r="N21" s="42"/>
      <c r="O21" s="42"/>
      <c r="P21" s="42"/>
      <c r="Q21" s="42"/>
      <c r="R21" s="42"/>
      <c r="S21" s="253" t="s">
        <v>605</v>
      </c>
      <c r="T21" s="253" t="s">
        <v>606</v>
      </c>
      <c r="U21" s="253" t="s">
        <v>605</v>
      </c>
      <c r="V21" s="253" t="s">
        <v>606</v>
      </c>
      <c r="W21" s="253" t="s">
        <v>605</v>
      </c>
      <c r="X21" s="253" t="s">
        <v>606</v>
      </c>
      <c r="Y21" s="253" t="s">
        <v>605</v>
      </c>
      <c r="Z21" s="253" t="s">
        <v>606</v>
      </c>
    </row>
    <row r="22" spans="2:26" x14ac:dyDescent="0.3">
      <c r="B22" t="s">
        <v>135</v>
      </c>
      <c r="S22" s="38">
        <f>J7*S16</f>
        <v>520219.46333139326</v>
      </c>
      <c r="T22" s="38">
        <f>K7*T16</f>
        <v>482056.36518742226</v>
      </c>
      <c r="U22" s="38">
        <f>U16*L7</f>
        <v>618492.57799497899</v>
      </c>
      <c r="V22" s="38">
        <f>V16*M7</f>
        <v>600556.78467799351</v>
      </c>
      <c r="W22" s="38">
        <f t="shared" ref="W22" si="16">W16*N7</f>
        <v>615364.09112151153</v>
      </c>
      <c r="X22" s="38">
        <f>X16*O7</f>
        <v>599069.13344913849</v>
      </c>
      <c r="Y22" s="38">
        <f>Y24+Y23</f>
        <v>658649.22383247281</v>
      </c>
      <c r="Z22" s="38">
        <f>Z24+Z23</f>
        <v>618419.66751006118</v>
      </c>
    </row>
    <row r="23" spans="2:26" x14ac:dyDescent="0.3">
      <c r="B23" t="s">
        <v>122</v>
      </c>
      <c r="S23" s="38">
        <f>$G$7</f>
        <v>-1770</v>
      </c>
      <c r="T23" s="38">
        <f>$G$7</f>
        <v>-1770</v>
      </c>
      <c r="U23" s="38">
        <f t="shared" ref="U23:Z23" si="17">$G$7</f>
        <v>-1770</v>
      </c>
      <c r="V23" s="38">
        <f t="shared" si="17"/>
        <v>-1770</v>
      </c>
      <c r="W23" s="38">
        <f t="shared" si="17"/>
        <v>-1770</v>
      </c>
      <c r="X23" s="38">
        <f t="shared" si="17"/>
        <v>-1770</v>
      </c>
      <c r="Y23" s="38">
        <f t="shared" si="17"/>
        <v>-1770</v>
      </c>
      <c r="Z23" s="38">
        <f t="shared" si="17"/>
        <v>-1770</v>
      </c>
    </row>
    <row r="24" spans="2:26" x14ac:dyDescent="0.3">
      <c r="B24" t="s">
        <v>136</v>
      </c>
      <c r="S24" s="38">
        <f>S22-S23</f>
        <v>521989.46333139326</v>
      </c>
      <c r="T24" s="38">
        <f>T22-T23</f>
        <v>483826.36518742226</v>
      </c>
      <c r="U24" s="38">
        <f t="shared" ref="U24:X24" si="18">U22-U23</f>
        <v>620262.57799497899</v>
      </c>
      <c r="V24" s="38">
        <f t="shared" si="18"/>
        <v>602326.78467799351</v>
      </c>
      <c r="W24" s="38">
        <f t="shared" si="18"/>
        <v>617134.09112151153</v>
      </c>
      <c r="X24" s="38">
        <f t="shared" si="18"/>
        <v>600839.13344913849</v>
      </c>
      <c r="Y24" s="38">
        <f>Y16*P7</f>
        <v>660419.22383247281</v>
      </c>
      <c r="Z24" s="38">
        <f>Z16*Q7</f>
        <v>620189.66751006118</v>
      </c>
    </row>
    <row r="25" spans="2:26" x14ac:dyDescent="0.3">
      <c r="B25" t="s">
        <v>137</v>
      </c>
      <c r="S25" s="23">
        <f>$E$7</f>
        <v>234.96</v>
      </c>
      <c r="T25" s="23">
        <f>$E$7</f>
        <v>234.96</v>
      </c>
      <c r="U25" s="23">
        <f t="shared" ref="U25:Z25" si="19">$E$7</f>
        <v>234.96</v>
      </c>
      <c r="V25" s="23">
        <f t="shared" si="19"/>
        <v>234.96</v>
      </c>
      <c r="W25" s="23">
        <f t="shared" si="19"/>
        <v>234.96</v>
      </c>
      <c r="X25" s="23">
        <f t="shared" si="19"/>
        <v>234.96</v>
      </c>
      <c r="Y25" s="23">
        <f t="shared" si="19"/>
        <v>234.96</v>
      </c>
      <c r="Z25" s="23">
        <f t="shared" si="19"/>
        <v>234.96</v>
      </c>
    </row>
    <row r="26" spans="2:26" x14ac:dyDescent="0.3">
      <c r="B26" s="236" t="s">
        <v>138</v>
      </c>
      <c r="C26" s="236"/>
      <c r="D26" s="236"/>
      <c r="E26" s="236"/>
      <c r="F26" s="236"/>
      <c r="G26" s="236"/>
      <c r="H26" s="236"/>
      <c r="I26" s="236"/>
      <c r="J26" s="236"/>
      <c r="K26" s="236"/>
      <c r="L26" s="236"/>
      <c r="M26" s="236"/>
      <c r="N26" s="236"/>
      <c r="O26" s="236"/>
      <c r="P26" s="236"/>
      <c r="Q26" s="236"/>
      <c r="R26" s="236"/>
      <c r="S26" s="259">
        <f>S24/S25</f>
        <v>2221.6099052238392</v>
      </c>
      <c r="T26" s="259">
        <f>T24/T25</f>
        <v>2059.186096303295</v>
      </c>
      <c r="U26" s="259">
        <f>U24/U25</f>
        <v>2639.8645641597673</v>
      </c>
      <c r="V26" s="259">
        <f>V24/V25</f>
        <v>2563.5290461269724</v>
      </c>
      <c r="W26" s="259">
        <f t="shared" ref="W26:X26" si="20">W24/W25</f>
        <v>2626.5495876809309</v>
      </c>
      <c r="X26" s="259">
        <f t="shared" si="20"/>
        <v>2557.1975376623191</v>
      </c>
      <c r="Y26" s="259">
        <f>Y24/Y25</f>
        <v>2810.7729989465133</v>
      </c>
      <c r="Z26" s="259">
        <f>Z24/Z25</f>
        <v>2639.5542539583807</v>
      </c>
    </row>
    <row r="27" spans="2:26" x14ac:dyDescent="0.3">
      <c r="B27" s="254" t="s">
        <v>94</v>
      </c>
      <c r="C27" s="255"/>
      <c r="D27" s="255"/>
      <c r="E27" s="255"/>
      <c r="F27" s="255"/>
      <c r="G27" s="255"/>
      <c r="H27" s="255"/>
      <c r="I27" s="255"/>
      <c r="J27" s="255"/>
      <c r="K27" s="255"/>
      <c r="L27" s="255"/>
      <c r="M27" s="255"/>
      <c r="N27" s="255"/>
      <c r="O27" s="255"/>
      <c r="P27" s="255"/>
      <c r="Q27" s="255"/>
      <c r="R27" s="255"/>
      <c r="S27" s="256" t="str" cm="1">
        <f t="array" ref="S27">_xlfn.IFS(S26&gt;$D$7, "Undervalued",S26&lt;$D$7,"Overvalued",S26=$D$7,"Fairly Valued")</f>
        <v>Undervalued</v>
      </c>
      <c r="T27" s="256" t="str" cm="1">
        <f t="array" ref="T27">_xlfn.IFS(T26&gt;$D$7, "Undervalued",T26&lt;$D$7,"Overvalued",T26=$D$7,"Fairly Valued")</f>
        <v>Overvalued</v>
      </c>
      <c r="U27" s="256" t="str" cm="1">
        <f t="array" ref="U27">_xlfn.IFS(U26&gt;$D$7, "Undervalued",U26&lt;$D$7,"Overvalued",U26=$D$7,"Fairly Valued")</f>
        <v>Undervalued</v>
      </c>
      <c r="V27" s="256" t="str" cm="1">
        <f t="array" ref="V27">_xlfn.IFS(V26&gt;$D$7, "Undervalued",V26&lt;$D$7,"Overvalued",V26=$D$7,"Fairly Valued")</f>
        <v>Undervalued</v>
      </c>
      <c r="W27" s="256" t="str" cm="1">
        <f t="array" ref="W27">_xlfn.IFS(W26&gt;$D$7, "Undervalued",W26&lt;$D$7,"Overvalued",W26=$D$7,"Fairly Valued")</f>
        <v>Undervalued</v>
      </c>
      <c r="X27" s="256" t="str" cm="1">
        <f t="array" ref="X27">_xlfn.IFS(X26&gt;$D$7, "Undervalued",X26&lt;$D$7,"Overvalued",X26=$D$7,"Fairly Valued")</f>
        <v>Undervalued</v>
      </c>
      <c r="Y27" s="256" t="str" cm="1">
        <f t="array" ref="Y27">_xlfn.IFS(Y26&gt;$D$7, "Undervalued",Y26&lt;$D$7,"Overvalued",Y26=$D$7,"Fairly Valued")</f>
        <v>Undervalued</v>
      </c>
      <c r="Z27" s="256" t="str" cm="1">
        <f t="array" ref="Z27">_xlfn.IFS(Z26&gt;$D$7, "Undervalued",Z26&lt;$D$7,"Overvalued",Z26=$D$7,"Fairly Valued")</f>
        <v>Undervalued</v>
      </c>
    </row>
  </sheetData>
  <mergeCells count="15">
    <mergeCell ref="S20:T20"/>
    <mergeCell ref="U20:V20"/>
    <mergeCell ref="W20:X20"/>
    <mergeCell ref="Y20:Z20"/>
    <mergeCell ref="D4:H4"/>
    <mergeCell ref="J4:P4"/>
    <mergeCell ref="S4:Z4"/>
    <mergeCell ref="U5:V5"/>
    <mergeCell ref="S5:T5"/>
    <mergeCell ref="W5:X5"/>
    <mergeCell ref="Y5:Z5"/>
    <mergeCell ref="J5:K5"/>
    <mergeCell ref="L5:M5"/>
    <mergeCell ref="N5:O5"/>
    <mergeCell ref="P5:Q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Cover</vt:lpstr>
      <vt:lpstr>Dashboard</vt:lpstr>
      <vt:lpstr>Key Findings</vt:lpstr>
      <vt:lpstr>Recommendations</vt:lpstr>
      <vt:lpstr>Assumptions Summary</vt:lpstr>
      <vt:lpstr>Data Sheet</vt:lpstr>
      <vt:lpstr>Profit &amp; Loss</vt:lpstr>
      <vt:lpstr>Balance Sheet</vt:lpstr>
      <vt:lpstr>Cash Flow</vt:lpstr>
      <vt:lpstr>Cash Flow Data</vt:lpstr>
      <vt:lpstr>Quarters</vt:lpstr>
      <vt:lpstr>Common Size Statement</vt:lpstr>
      <vt:lpstr>Comparative Statement</vt:lpstr>
      <vt:lpstr>Ratio analysis</vt:lpstr>
      <vt:lpstr>Dupont</vt:lpstr>
      <vt:lpstr>Altman Z Score</vt:lpstr>
      <vt:lpstr>Beneish M-Score</vt:lpstr>
      <vt:lpstr>Beta</vt:lpstr>
      <vt:lpstr>Beta comps </vt:lpstr>
      <vt:lpstr>ERP</vt:lpstr>
      <vt:lpstr>WACC</vt:lpstr>
      <vt:lpstr>DCF Valuation</vt:lpstr>
      <vt:lpstr>Data for Relative Valuation</vt:lpstr>
      <vt:lpstr>Relative Valuation</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mukul singh</cp:lastModifiedBy>
  <cp:lastPrinted>2012-12-06T18:14:13Z</cp:lastPrinted>
  <dcterms:created xsi:type="dcterms:W3CDTF">2012-08-17T09:55:37Z</dcterms:created>
  <dcterms:modified xsi:type="dcterms:W3CDTF">2026-08-27T08:51:33Z</dcterms:modified>
</cp:coreProperties>
</file>